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updateLinks="never"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pkochanowski\OneDrive - PEKAO\SPKKH\"/>
    </mc:Choice>
  </mc:AlternateContent>
  <xr:revisionPtr revIDLastSave="0" documentId="13_ncr:1_{9F33203D-F01E-450E-8F71-10F54E72B0F8}" xr6:coauthVersionLast="47" xr6:coauthVersionMax="47" xr10:uidLastSave="{00000000-0000-0000-0000-000000000000}"/>
  <workbookProtection workbookAlgorithmName="SHA-512" workbookHashValue="k+bkw5Y+3f6Utub6tPtB2W3m2mpR7/yTB3UkfF9kzD2bsINGav0xD9yjHYsowuv59iMsoDsyDeB1hK9SfmohXg==" workbookSaltValue="vlY8y5NLL2sTUMwcPQtP8w==" workbookSpinCount="100000" lockStructure="1"/>
  <bookViews>
    <workbookView xWindow="1815" yWindow="-13890" windowWidth="16140" windowHeight="11295" xr2:uid="{00000000-000D-0000-FFFF-FFFF00000000}"/>
  </bookViews>
  <sheets>
    <sheet name="kosztorys" sheetId="1" r:id="rId1"/>
    <sheet name="Zasady wypełniania formularza" sheetId="3" r:id="rId2"/>
    <sheet name="Wyliczenia" sheetId="5" state="hidden" r:id="rId3"/>
  </sheets>
  <definedNames>
    <definedName name="_xlnm.Print_Area" localSheetId="0">kosztorys!$A$1:$J$100</definedName>
    <definedName name="_xlnm.Print_Titles" localSheetId="0">kosztorys!$1:$13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7" i="1" l="1"/>
  <c r="F76" i="1" l="1"/>
  <c r="H76" i="1"/>
  <c r="I76" i="1" l="1"/>
  <c r="D42" i="5" l="1"/>
  <c r="D36" i="5"/>
  <c r="D30" i="5"/>
  <c r="D67" i="5"/>
  <c r="AK73" i="5"/>
  <c r="O1" i="5"/>
  <c r="E77" i="5"/>
  <c r="D51" i="5"/>
  <c r="AC24" i="5"/>
  <c r="D24" i="5"/>
  <c r="D59" i="5"/>
  <c r="O3" i="5"/>
  <c r="O5" i="5" s="1"/>
  <c r="O2" i="5"/>
  <c r="AK26" i="5"/>
  <c r="AK27" i="5"/>
  <c r="AK28" i="5"/>
  <c r="AK29" i="5"/>
  <c r="AK31" i="5"/>
  <c r="AK32" i="5"/>
  <c r="AK33" i="5"/>
  <c r="AK34" i="5"/>
  <c r="AK35" i="5"/>
  <c r="AK37" i="5"/>
  <c r="AK38" i="5"/>
  <c r="AK39" i="5"/>
  <c r="AK40" i="5"/>
  <c r="AK41" i="5"/>
  <c r="AK43" i="5"/>
  <c r="AK44" i="5"/>
  <c r="AK45" i="5"/>
  <c r="AK46" i="5"/>
  <c r="AK47" i="5"/>
  <c r="AK48" i="5"/>
  <c r="AK49" i="5"/>
  <c r="AK50" i="5"/>
  <c r="AK52" i="5"/>
  <c r="AK53" i="5"/>
  <c r="AK54" i="5"/>
  <c r="AK55" i="5"/>
  <c r="AK56" i="5"/>
  <c r="AK57" i="5"/>
  <c r="AK58" i="5"/>
  <c r="AK60" i="5"/>
  <c r="AK61" i="5"/>
  <c r="AK62" i="5"/>
  <c r="AK63" i="5"/>
  <c r="AK64" i="5"/>
  <c r="AK65" i="5"/>
  <c r="AK66" i="5"/>
  <c r="AK68" i="5"/>
  <c r="AK69" i="5"/>
  <c r="AK70" i="5"/>
  <c r="AK71" i="5"/>
  <c r="AK72" i="5"/>
  <c r="AK74" i="5"/>
  <c r="AK75" i="5"/>
  <c r="AK76" i="5"/>
  <c r="AK77" i="5"/>
  <c r="AK78" i="5"/>
  <c r="AK79" i="5"/>
  <c r="AK25" i="5"/>
  <c r="O4" i="5" l="1"/>
  <c r="D77" i="5"/>
  <c r="AB4" i="5"/>
  <c r="C76" i="1"/>
  <c r="G76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R24" i="5" l="1"/>
  <c r="R2" i="5"/>
  <c r="R67" i="5"/>
  <c r="V2" i="5"/>
  <c r="I95" i="1"/>
  <c r="AJ24" i="5" l="1"/>
  <c r="K14" i="1" s="1"/>
  <c r="AK24" i="5" s="1"/>
  <c r="G14" i="1"/>
  <c r="R3" i="5"/>
  <c r="P4" i="5" s="1"/>
  <c r="I5" i="5"/>
  <c r="U2" i="5"/>
  <c r="I3" i="5"/>
  <c r="T2" i="5"/>
  <c r="K3" i="5"/>
  <c r="S2" i="5"/>
  <c r="K2" i="5"/>
  <c r="U6" i="5"/>
  <c r="T6" i="5"/>
  <c r="V6" i="5"/>
  <c r="S6" i="5"/>
  <c r="AC42" i="5"/>
  <c r="AC51" i="5"/>
  <c r="AC59" i="5"/>
  <c r="AC73" i="5"/>
  <c r="AC67" i="5"/>
  <c r="G57" i="1" s="1"/>
  <c r="AC36" i="5"/>
  <c r="AC30" i="5"/>
  <c r="I94" i="1"/>
  <c r="I92" i="1"/>
  <c r="AE29" i="5"/>
  <c r="AE31" i="5"/>
  <c r="AE32" i="5"/>
  <c r="AE33" i="5"/>
  <c r="AE34" i="5"/>
  <c r="AE35" i="5"/>
  <c r="AE37" i="5"/>
  <c r="AE38" i="5"/>
  <c r="AE39" i="5"/>
  <c r="AE40" i="5"/>
  <c r="AE41" i="5"/>
  <c r="AE43" i="5"/>
  <c r="AE44" i="5"/>
  <c r="AE45" i="5"/>
  <c r="AE46" i="5"/>
  <c r="AE47" i="5"/>
  <c r="AE48" i="5"/>
  <c r="AE49" i="5"/>
  <c r="AE50" i="5"/>
  <c r="AE52" i="5"/>
  <c r="AE53" i="5"/>
  <c r="AE54" i="5"/>
  <c r="AE55" i="5"/>
  <c r="AE56" i="5"/>
  <c r="AE57" i="5"/>
  <c r="AE58" i="5"/>
  <c r="AE60" i="5"/>
  <c r="AE61" i="5"/>
  <c r="AE62" i="5"/>
  <c r="AE63" i="5"/>
  <c r="AE64" i="5"/>
  <c r="AE65" i="5"/>
  <c r="AE66" i="5"/>
  <c r="AE68" i="5"/>
  <c r="AE69" i="5"/>
  <c r="AE70" i="5"/>
  <c r="AE71" i="5"/>
  <c r="AE72" i="5"/>
  <c r="AE74" i="5"/>
  <c r="AE75" i="5"/>
  <c r="AE76" i="5"/>
  <c r="AE77" i="5"/>
  <c r="AE78" i="5"/>
  <c r="AE79" i="5"/>
  <c r="D3" i="5" l="1"/>
  <c r="D2" i="5" s="1"/>
  <c r="P5" i="5"/>
  <c r="P2" i="5"/>
  <c r="P1" i="5"/>
  <c r="P3" i="5"/>
  <c r="AJ67" i="5"/>
  <c r="K57" i="1" s="1"/>
  <c r="AK67" i="5" s="1"/>
  <c r="S7" i="5"/>
  <c r="F73" i="5"/>
  <c r="C73" i="5" s="1"/>
  <c r="F59" i="5"/>
  <c r="F51" i="5"/>
  <c r="C51" i="5" s="1"/>
  <c r="AE51" i="5"/>
  <c r="AE67" i="5"/>
  <c r="AE42" i="5"/>
  <c r="AF42" i="5" s="1"/>
  <c r="J32" i="1" s="1"/>
  <c r="F67" i="5"/>
  <c r="C67" i="5" s="1"/>
  <c r="AE59" i="5"/>
  <c r="AE36" i="5"/>
  <c r="F36" i="5"/>
  <c r="F42" i="5"/>
  <c r="AE73" i="5"/>
  <c r="AE30" i="5"/>
  <c r="AF30" i="5" s="1"/>
  <c r="J20" i="1" s="1"/>
  <c r="F30" i="5"/>
  <c r="S8" i="5" l="1"/>
  <c r="R30" i="5"/>
  <c r="G20" i="1" s="1"/>
  <c r="T7" i="5"/>
  <c r="U7" i="5" s="1"/>
  <c r="U8" i="5" s="1"/>
  <c r="AF73" i="5"/>
  <c r="J63" i="1" s="1"/>
  <c r="AF59" i="5"/>
  <c r="J49" i="1" s="1"/>
  <c r="AF67" i="5"/>
  <c r="J57" i="1" s="1"/>
  <c r="AF51" i="5"/>
  <c r="J41" i="1" s="1"/>
  <c r="AF36" i="5"/>
  <c r="J26" i="1" s="1"/>
  <c r="C30" i="5"/>
  <c r="C36" i="5" s="1"/>
  <c r="C42" i="5"/>
  <c r="C59" i="5"/>
  <c r="AJ30" i="5" l="1"/>
  <c r="K20" i="1" s="1"/>
  <c r="AK30" i="5" s="1"/>
  <c r="R59" i="5"/>
  <c r="G49" i="1" s="1"/>
  <c r="T8" i="5"/>
  <c r="AI82" i="5"/>
  <c r="AI25" i="5"/>
  <c r="AJ25" i="5"/>
  <c r="AI26" i="5"/>
  <c r="AJ26" i="5"/>
  <c r="AI27" i="5"/>
  <c r="AJ27" i="5"/>
  <c r="AI28" i="5"/>
  <c r="AJ28" i="5"/>
  <c r="AI29" i="5"/>
  <c r="AJ29" i="5"/>
  <c r="AI31" i="5"/>
  <c r="AJ31" i="5"/>
  <c r="AI32" i="5"/>
  <c r="AJ32" i="5"/>
  <c r="AI33" i="5"/>
  <c r="AJ33" i="5"/>
  <c r="AI34" i="5"/>
  <c r="AJ34" i="5"/>
  <c r="AI35" i="5"/>
  <c r="AJ35" i="5"/>
  <c r="AI37" i="5"/>
  <c r="AJ37" i="5"/>
  <c r="AI38" i="5"/>
  <c r="AJ38" i="5"/>
  <c r="AI39" i="5"/>
  <c r="AJ39" i="5"/>
  <c r="AI40" i="5"/>
  <c r="AJ40" i="5"/>
  <c r="AI41" i="5"/>
  <c r="AJ41" i="5"/>
  <c r="AI43" i="5"/>
  <c r="AJ43" i="5"/>
  <c r="AI44" i="5"/>
  <c r="AJ44" i="5"/>
  <c r="AI45" i="5"/>
  <c r="AJ45" i="5"/>
  <c r="AI46" i="5"/>
  <c r="AJ46" i="5"/>
  <c r="AI47" i="5"/>
  <c r="AJ47" i="5"/>
  <c r="AI48" i="5"/>
  <c r="AJ48" i="5"/>
  <c r="AI49" i="5"/>
  <c r="AJ49" i="5"/>
  <c r="AI50" i="5"/>
  <c r="AJ50" i="5"/>
  <c r="AI52" i="5"/>
  <c r="AJ52" i="5"/>
  <c r="AI53" i="5"/>
  <c r="AJ53" i="5"/>
  <c r="AI54" i="5"/>
  <c r="AJ54" i="5"/>
  <c r="AI55" i="5"/>
  <c r="AJ55" i="5"/>
  <c r="AI56" i="5"/>
  <c r="AJ56" i="5"/>
  <c r="AI57" i="5"/>
  <c r="AJ57" i="5"/>
  <c r="AI58" i="5"/>
  <c r="AJ58" i="5"/>
  <c r="AI60" i="5"/>
  <c r="AJ60" i="5"/>
  <c r="AI61" i="5"/>
  <c r="AJ61" i="5"/>
  <c r="AI62" i="5"/>
  <c r="AJ62" i="5"/>
  <c r="AI63" i="5"/>
  <c r="AJ63" i="5"/>
  <c r="AI64" i="5"/>
  <c r="AJ64" i="5"/>
  <c r="AI65" i="5"/>
  <c r="AJ65" i="5"/>
  <c r="AI66" i="5"/>
  <c r="AJ66" i="5"/>
  <c r="AI68" i="5"/>
  <c r="AJ68" i="5"/>
  <c r="AI69" i="5"/>
  <c r="AJ69" i="5"/>
  <c r="AI70" i="5"/>
  <c r="AJ70" i="5"/>
  <c r="AI71" i="5"/>
  <c r="AJ71" i="5"/>
  <c r="AI72" i="5"/>
  <c r="AJ72" i="5"/>
  <c r="AI74" i="5"/>
  <c r="AJ74" i="5"/>
  <c r="AI75" i="5"/>
  <c r="AJ75" i="5"/>
  <c r="AI76" i="5"/>
  <c r="AJ76" i="5"/>
  <c r="AI77" i="5"/>
  <c r="AJ77" i="5"/>
  <c r="AI78" i="5"/>
  <c r="AJ78" i="5"/>
  <c r="AI79" i="5"/>
  <c r="AJ79" i="5"/>
  <c r="AI80" i="5"/>
  <c r="F24" i="5"/>
  <c r="AE25" i="5"/>
  <c r="AE26" i="5"/>
  <c r="AE27" i="5"/>
  <c r="AE28" i="5"/>
  <c r="H71" i="1"/>
  <c r="F77" i="1" l="1"/>
  <c r="AJ59" i="5"/>
  <c r="K49" i="1" s="1"/>
  <c r="F85" i="1"/>
  <c r="F87" i="1"/>
  <c r="F78" i="1"/>
  <c r="F86" i="1"/>
  <c r="F79" i="1"/>
  <c r="F80" i="1"/>
  <c r="F88" i="1"/>
  <c r="F89" i="1"/>
  <c r="F82" i="1"/>
  <c r="F90" i="1"/>
  <c r="F91" i="1"/>
  <c r="F84" i="1"/>
  <c r="F81" i="1"/>
  <c r="F83" i="1"/>
  <c r="AE24" i="5"/>
  <c r="AB24" i="5" s="1"/>
  <c r="AH24" i="5" s="1"/>
  <c r="AB51" i="5"/>
  <c r="AH51" i="5" s="1"/>
  <c r="I41" i="1" s="1"/>
  <c r="AB67" i="5"/>
  <c r="AH67" i="5" s="1"/>
  <c r="I57" i="1" s="1"/>
  <c r="AB42" i="5"/>
  <c r="AH42" i="5" s="1"/>
  <c r="I32" i="1" s="1"/>
  <c r="AB36" i="5"/>
  <c r="AH36" i="5" s="1"/>
  <c r="I26" i="1" s="1"/>
  <c r="AB59" i="5"/>
  <c r="AH59" i="5" s="1"/>
  <c r="I49" i="1" s="1"/>
  <c r="AB73" i="5"/>
  <c r="AH73" i="5" s="1"/>
  <c r="I63" i="1" s="1"/>
  <c r="AJ73" i="5" s="1"/>
  <c r="AB30" i="5"/>
  <c r="AH30" i="5" s="1"/>
  <c r="I20" i="1" s="1"/>
  <c r="AA24" i="5"/>
  <c r="AG24" i="5" s="1"/>
  <c r="AA59" i="5"/>
  <c r="AG59" i="5" s="1"/>
  <c r="AA36" i="5"/>
  <c r="AG36" i="5" s="1"/>
  <c r="AA30" i="5"/>
  <c r="AG30" i="5" s="1"/>
  <c r="AA42" i="5"/>
  <c r="AG42" i="5" s="1"/>
  <c r="AA67" i="5"/>
  <c r="AG67" i="5" s="1"/>
  <c r="AA51" i="5"/>
  <c r="AG51" i="5" s="1"/>
  <c r="AA73" i="5"/>
  <c r="AG73" i="5" s="1"/>
  <c r="AC81" i="5"/>
  <c r="AI81" i="5"/>
  <c r="AK59" i="5" l="1"/>
  <c r="H63" i="1"/>
  <c r="AI73" i="5" s="1"/>
  <c r="H49" i="1"/>
  <c r="AI59" i="5" s="1"/>
  <c r="H32" i="1"/>
  <c r="AI42" i="5" s="1"/>
  <c r="AA81" i="5"/>
  <c r="AG81" i="5" s="1"/>
  <c r="AF24" i="5"/>
  <c r="J14" i="1" s="1"/>
  <c r="AE81" i="5"/>
  <c r="H57" i="1"/>
  <c r="AI67" i="5" s="1"/>
  <c r="H41" i="1"/>
  <c r="AI51" i="5" s="1"/>
  <c r="H26" i="1"/>
  <c r="AI36" i="5" s="1"/>
  <c r="H20" i="1"/>
  <c r="AI30" i="5" s="1"/>
  <c r="H14" i="1"/>
  <c r="AI24" i="5" s="1"/>
  <c r="I14" i="1"/>
  <c r="C24" i="5"/>
  <c r="AF81" i="5" l="1"/>
  <c r="I70" i="1" s="1"/>
  <c r="AB81" i="5"/>
  <c r="AH81" i="5" s="1"/>
  <c r="E3" i="5"/>
  <c r="E2" i="5" s="1"/>
  <c r="R42" i="5" l="1"/>
  <c r="G32" i="1" s="1"/>
  <c r="R36" i="5"/>
  <c r="G26" i="1" s="1"/>
  <c r="I71" i="1"/>
  <c r="AJ80" i="5"/>
  <c r="F3" i="5"/>
  <c r="F2" i="5" s="1"/>
  <c r="R51" i="5"/>
  <c r="G41" i="1" s="1"/>
  <c r="N1" i="5"/>
  <c r="N9" i="5" s="1"/>
  <c r="N5" i="5"/>
  <c r="Q5" i="5" s="1"/>
  <c r="N2" i="5"/>
  <c r="Q2" i="5" s="1"/>
  <c r="O8" i="5" l="1"/>
  <c r="N8" i="5"/>
  <c r="P8" i="5"/>
  <c r="Q1" i="5"/>
  <c r="AJ51" i="5"/>
  <c r="K41" i="1" s="1"/>
  <c r="AK51" i="5" s="1"/>
  <c r="AJ42" i="5"/>
  <c r="K32" i="1" s="1"/>
  <c r="AK42" i="5" s="1"/>
  <c r="AJ36" i="5"/>
  <c r="K26" i="1" s="1"/>
  <c r="AK36" i="5" s="1"/>
  <c r="R82" i="5"/>
  <c r="Q7" i="5" s="1"/>
  <c r="B9" i="1" s="1"/>
  <c r="N3" i="5"/>
  <c r="Q3" i="5" s="1"/>
  <c r="G3" i="5"/>
  <c r="G2" i="5" s="1"/>
  <c r="N4" i="5" s="1"/>
  <c r="Q4" i="5" s="1"/>
  <c r="C95" i="1" l="1"/>
  <c r="I72" i="1" l="1"/>
  <c r="AJ81" i="5"/>
  <c r="G92" i="1" l="1"/>
  <c r="AJ8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Kochanowski Przemyslaw</author>
    <author>Komosa Ewelina</author>
  </authors>
  <commentList>
    <comment ref="I5" authorId="0" shapeId="0" xr:uid="{214F288A-7859-40C0-85F1-C9FB29FF7743}">
      <text>
        <r>
          <rPr>
            <b/>
            <sz val="9"/>
            <color indexed="81"/>
            <rFont val="Tahoma"/>
            <family val="2"/>
            <charset val="238"/>
          </rPr>
          <t>Miejscowość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  <comment ref="J5" authorId="0" shapeId="0" xr:uid="{F531D846-8317-4F1C-AC7E-88252C83F95A}">
      <text>
        <r>
          <rPr>
            <b/>
            <sz val="9"/>
            <color indexed="81"/>
            <rFont val="Tahoma"/>
            <family val="2"/>
            <charset val="238"/>
          </rPr>
          <t>ulica, nr budynku 
lub nr działki
nr lokalu (jeżeli dotyczy)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  <comment ref="J7" authorId="0" shapeId="0" xr:uid="{F39A02B9-4A14-493D-B8E8-91519B932CE5}">
      <text>
        <r>
          <rPr>
            <sz val="9"/>
            <color indexed="81"/>
            <rFont val="Tahoma"/>
            <charset val="1"/>
          </rPr>
          <t xml:space="preserve">Dla mieszkania w bloku zaznacz „wolnostojąca”
</t>
        </r>
      </text>
    </comment>
    <comment ref="J12" authorId="0" shapeId="0" xr:uid="{00000000-0006-0000-0000-00000A000000}">
      <text>
        <r>
          <rPr>
            <b/>
            <sz val="9"/>
            <color indexed="81"/>
            <rFont val="Tahoma"/>
            <family val="2"/>
            <charset val="238"/>
          </rPr>
          <t>Wypełniamy tylko jeśli chcemy potwierdzić poniesione koszty na dany element. 
Podajemy wyższy % zaawansowania (w kolumnie "Aktualne zaawansowanie") niż wynika z już wykonanych prac o np. wydatki wynikające z zapłaconych faktur lub umów i wplisujemy (w kolumnie "Opis wydatkowania środków") w jaki sposób możęmy udokumentować poniesiony koszt.</t>
        </r>
      </text>
    </comment>
    <comment ref="G15" authorId="0" shapeId="0" xr:uid="{00000000-0006-0000-0000-00000B000000}">
      <text>
        <r>
          <rPr>
            <b/>
            <sz val="9"/>
            <color indexed="81"/>
            <rFont val="Tahoma"/>
            <family val="2"/>
            <charset val="238"/>
          </rPr>
          <t xml:space="preserve">Jakie?
</t>
        </r>
        <r>
          <rPr>
            <sz val="9"/>
            <color indexed="81"/>
            <rFont val="Tahoma"/>
            <family val="2"/>
            <charset val="238"/>
          </rPr>
          <t xml:space="preserve">Np. Sieć miejska
</t>
        </r>
      </text>
    </comment>
    <comment ref="G16" authorId="0" shapeId="0" xr:uid="{00000000-0006-0000-0000-00000C000000}">
      <text>
        <r>
          <rPr>
            <b/>
            <sz val="9"/>
            <color indexed="81"/>
            <rFont val="Tahoma"/>
            <family val="2"/>
            <charset val="238"/>
          </rPr>
          <t>Jakie?</t>
        </r>
        <r>
          <rPr>
            <sz val="9"/>
            <color indexed="81"/>
            <rFont val="Tahoma"/>
            <family val="2"/>
            <charset val="238"/>
          </rPr>
          <t xml:space="preserve">
Np. Sieć miejska
</t>
        </r>
      </text>
    </comment>
    <comment ref="G17" authorId="0" shapeId="0" xr:uid="{00000000-0006-0000-0000-00000D000000}">
      <text>
        <r>
          <rPr>
            <b/>
            <sz val="9"/>
            <color indexed="81"/>
            <rFont val="Tahoma"/>
            <family val="2"/>
            <charset val="238"/>
          </rPr>
          <t>jest/będzie/brak</t>
        </r>
      </text>
    </comment>
    <comment ref="G18" authorId="0" shapeId="0" xr:uid="{00000000-0006-0000-0000-00000E000000}">
      <text>
        <r>
          <rPr>
            <b/>
            <sz val="9"/>
            <color indexed="81"/>
            <rFont val="Tahoma"/>
            <family val="2"/>
            <charset val="238"/>
          </rPr>
          <t>jest/będzie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  <comment ref="G27" authorId="0" shapeId="0" xr:uid="{00000000-0006-0000-0000-00000F000000}">
      <text>
        <r>
          <rPr>
            <b/>
            <sz val="9"/>
            <color indexed="81"/>
            <rFont val="Tahoma"/>
            <family val="2"/>
            <charset val="238"/>
          </rPr>
          <t>Ściany materiał ?</t>
        </r>
      </text>
    </comment>
    <comment ref="G29" authorId="0" shapeId="0" xr:uid="{00000000-0006-0000-0000-000010000000}">
      <text>
        <r>
          <rPr>
            <b/>
            <sz val="9"/>
            <color indexed="81"/>
            <rFont val="Tahoma"/>
            <family val="2"/>
            <charset val="238"/>
          </rPr>
          <t>Typ, materiał ?</t>
        </r>
      </text>
    </comment>
    <comment ref="G30" authorId="0" shapeId="0" xr:uid="{1730FE65-2C3D-4E77-A89B-DF2569F57329}">
      <text>
        <r>
          <rPr>
            <b/>
            <sz val="9"/>
            <color indexed="81"/>
            <rFont val="Tahoma"/>
            <family val="2"/>
            <charset val="238"/>
          </rPr>
          <t>Materiał pokrycia dachu</t>
        </r>
      </text>
    </comment>
    <comment ref="G34" authorId="0" shapeId="0" xr:uid="{00000000-0006-0000-0000-000011000000}">
      <text>
        <r>
          <rPr>
            <b/>
            <sz val="9"/>
            <color indexed="81"/>
            <rFont val="Tahoma"/>
            <family val="2"/>
            <charset val="238"/>
          </rPr>
          <t>Rodzaj, materiał ?
Jeśli dodatkowo gładzie, proszę dopisać.</t>
        </r>
      </text>
    </comment>
    <comment ref="G35" authorId="0" shapeId="0" xr:uid="{00000000-0006-0000-0000-000012000000}">
      <text>
        <r>
          <rPr>
            <b/>
            <sz val="9"/>
            <color indexed="81"/>
            <rFont val="Tahoma"/>
            <family val="2"/>
            <charset val="238"/>
          </rPr>
          <t>Okna, liczba i materiał ?
Drzwi, liczba i materiał ?</t>
        </r>
      </text>
    </comment>
    <comment ref="G37" authorId="0" shapeId="0" xr:uid="{00000000-0006-0000-0000-000013000000}">
      <text>
        <r>
          <rPr>
            <b/>
            <sz val="9"/>
            <color indexed="81"/>
            <rFont val="Tahoma"/>
            <family val="2"/>
            <charset val="238"/>
          </rPr>
          <t>Liczba mb. i materiał ?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  <comment ref="G39" authorId="0" shapeId="0" xr:uid="{00000000-0006-0000-0000-000014000000}">
      <text>
        <r>
          <rPr>
            <b/>
            <sz val="9"/>
            <color indexed="81"/>
            <rFont val="Tahoma"/>
            <family val="2"/>
            <charset val="238"/>
          </rPr>
          <t>Ocieplenie- materiał ?
tynk zew. - materiał ?
ocieplenie dachu - materiał ?</t>
        </r>
      </text>
    </comment>
    <comment ref="G44" authorId="0" shapeId="0" xr:uid="{00000000-0006-0000-0000-000015000000}">
      <text>
        <r>
          <rPr>
            <b/>
            <sz val="9"/>
            <color indexed="81"/>
            <rFont val="Tahoma"/>
            <family val="2"/>
            <charset val="238"/>
          </rPr>
          <t xml:space="preserve">Źródło ciepła, typ np. kocioł gazowy, pompa ciepła, inne ?
Rozprowadzenie ciepła, np. podłogowe, kaloryfery, ścienne, rekuperacja ?
</t>
        </r>
      </text>
    </comment>
    <comment ref="G46" authorId="0" shapeId="0" xr:uid="{00000000-0006-0000-0000-000018000000}">
      <text>
        <r>
          <rPr>
            <b/>
            <sz val="9"/>
            <color indexed="81"/>
            <rFont val="Tahoma"/>
            <family val="2"/>
            <charset val="238"/>
          </rPr>
          <t>Moc [kW]?</t>
        </r>
      </text>
    </comment>
    <comment ref="H46" authorId="0" shapeId="0" xr:uid="{00000000-0006-0000-0000-000019000000}">
      <text>
        <r>
          <rPr>
            <b/>
            <sz val="9"/>
            <color indexed="81"/>
            <rFont val="Tahoma"/>
            <family val="2"/>
            <charset val="238"/>
          </rPr>
          <t>Koszt faktyczny po odjęcu dotacji ?</t>
        </r>
      </text>
    </comment>
    <comment ref="G50" authorId="0" shapeId="0" xr:uid="{00000000-0006-0000-0000-00001B000000}">
      <text>
        <r>
          <rPr>
            <b/>
            <sz val="9"/>
            <color indexed="81"/>
            <rFont val="Tahoma"/>
            <family val="2"/>
            <charset val="238"/>
          </rPr>
          <t>Liczba drzwi</t>
        </r>
      </text>
    </comment>
    <comment ref="G51" authorId="0" shapeId="0" xr:uid="{00000000-0006-0000-0000-00001C000000}">
      <text>
        <r>
          <rPr>
            <b/>
            <sz val="9"/>
            <color indexed="81"/>
            <rFont val="Tahoma"/>
            <family val="2"/>
            <charset val="238"/>
          </rPr>
          <t>Jeżeli nie wszystkie w nieruchomości to wpisać liczba łazienek/wc</t>
        </r>
      </text>
    </comment>
    <comment ref="G52" authorId="0" shapeId="0" xr:uid="{00000000-0006-0000-0000-00001D000000}">
      <text>
        <r>
          <rPr>
            <b/>
            <sz val="9"/>
            <color indexed="81"/>
            <rFont val="Tahoma"/>
            <family val="2"/>
            <charset val="238"/>
          </rPr>
          <t>Jeżeli nie w całej nieruchomości to wpisać pomieszczenia (np. kuchnia, pokoje, korytarz, łazienka itp.) oraz materiały (np.terakota, panele, parkiet itp.)</t>
        </r>
      </text>
    </comment>
    <comment ref="G53" authorId="0" shapeId="0" xr:uid="{00000000-0006-0000-0000-00001E000000}">
      <text>
        <r>
          <rPr>
            <b/>
            <sz val="9"/>
            <color indexed="81"/>
            <rFont val="Tahoma"/>
            <family val="2"/>
            <charset val="238"/>
          </rPr>
          <t>Jeżeli nie w całej nieruchomości to wpisać pomieszczenia (np. kuchnia, pokoje, korytarz, łazienka itp.) oraz materiały (np.terakota, panele, parkiet itp.)</t>
        </r>
      </text>
    </comment>
    <comment ref="G55" authorId="0" shapeId="0" xr:uid="{00000000-0006-0000-0000-000020000000}">
      <text>
        <r>
          <rPr>
            <b/>
            <sz val="9"/>
            <color indexed="81"/>
            <rFont val="Tahoma"/>
            <family val="2"/>
            <charset val="238"/>
          </rPr>
          <t>Liczba szaf.</t>
        </r>
      </text>
    </comment>
    <comment ref="G58" authorId="0" shapeId="0" xr:uid="{00000000-0006-0000-0000-000021000000}">
      <text>
        <r>
          <rPr>
            <b/>
            <sz val="9"/>
            <color indexed="81"/>
            <rFont val="Tahoma"/>
            <family val="2"/>
            <charset val="238"/>
          </rPr>
          <t xml:space="preserve">powierzchnia i materiał
</t>
        </r>
      </text>
    </comment>
    <comment ref="G59" authorId="0" shapeId="0" xr:uid="{00000000-0006-0000-0000-000022000000}">
      <text>
        <r>
          <rPr>
            <b/>
            <sz val="9"/>
            <color indexed="81"/>
            <rFont val="Tahoma"/>
            <family val="2"/>
            <charset val="238"/>
          </rPr>
          <t>Długość i materiał.</t>
        </r>
      </text>
    </comment>
    <comment ref="G60" authorId="0" shapeId="0" xr:uid="{00000000-0006-0000-0000-000023000000}">
      <text>
        <r>
          <rPr>
            <b/>
            <sz val="9"/>
            <color indexed="81"/>
            <rFont val="Tahoma"/>
            <family val="2"/>
            <charset val="238"/>
          </rPr>
          <t>Nawodnienie, oświtlenie, inne, jakie ?</t>
        </r>
      </text>
    </comment>
    <comment ref="G61" authorId="0" shapeId="0" xr:uid="{00000000-0006-0000-0000-000024000000}">
      <text>
        <r>
          <rPr>
            <b/>
            <sz val="9"/>
            <color indexed="81"/>
            <rFont val="Tahoma"/>
            <family val="2"/>
            <charset val="238"/>
          </rPr>
          <t>Opis ,wielkość, materiał.</t>
        </r>
      </text>
    </comment>
    <comment ref="G64" authorId="1" shapeId="0" xr:uid="{00000000-0006-0000-0000-000025000000}">
      <text>
        <r>
          <rPr>
            <b/>
            <sz val="9"/>
            <color indexed="81"/>
            <rFont val="Tahoma"/>
            <family val="2"/>
            <charset val="238"/>
          </rPr>
          <t>Opis prac, 
materiał,
liczba.</t>
        </r>
      </text>
    </comment>
    <comment ref="G65" authorId="1" shapeId="0" xr:uid="{00000000-0006-0000-0000-000027000000}">
      <text>
        <r>
          <rPr>
            <b/>
            <sz val="9"/>
            <color indexed="81"/>
            <rFont val="Tahoma"/>
            <family val="2"/>
            <charset val="238"/>
          </rPr>
          <t>Opis prac, 
materiał,
liczba.</t>
        </r>
      </text>
    </comment>
    <comment ref="G66" authorId="1" shapeId="0" xr:uid="{00000000-0006-0000-0000-000029000000}">
      <text>
        <r>
          <rPr>
            <b/>
            <sz val="9"/>
            <color indexed="81"/>
            <rFont val="Tahoma"/>
            <family val="2"/>
            <charset val="238"/>
          </rPr>
          <t>Opis prac, 
materiał,
liczba.</t>
        </r>
      </text>
    </comment>
    <comment ref="G67" authorId="1" shapeId="0" xr:uid="{00000000-0006-0000-0000-00002B000000}">
      <text>
        <r>
          <rPr>
            <b/>
            <sz val="9"/>
            <color indexed="81"/>
            <rFont val="Tahoma"/>
            <family val="2"/>
            <charset val="238"/>
          </rPr>
          <t>Opis prac, 
materiał,
liczba.</t>
        </r>
      </text>
    </comment>
    <comment ref="G68" authorId="1" shapeId="0" xr:uid="{00000000-0006-0000-0000-00002D000000}">
      <text>
        <r>
          <rPr>
            <b/>
            <sz val="9"/>
            <color indexed="81"/>
            <rFont val="Tahoma"/>
            <family val="2"/>
            <charset val="238"/>
          </rPr>
          <t>Opis prac, 
materiał,
liczba.</t>
        </r>
      </text>
    </comment>
    <comment ref="G69" authorId="1" shapeId="0" xr:uid="{00000000-0006-0000-0000-00002F000000}">
      <text>
        <r>
          <rPr>
            <b/>
            <sz val="9"/>
            <color indexed="81"/>
            <rFont val="Tahoma"/>
            <family val="2"/>
            <charset val="238"/>
          </rPr>
          <t>Opis prac, 
materiał,
liczba.</t>
        </r>
      </text>
    </comment>
  </commentList>
</comments>
</file>

<file path=xl/sharedStrings.xml><?xml version="1.0" encoding="utf-8"?>
<sst xmlns="http://schemas.openxmlformats.org/spreadsheetml/2006/main" count="277" uniqueCount="197">
  <si>
    <t>(zł)</t>
  </si>
  <si>
    <t>Roboty ziemne</t>
  </si>
  <si>
    <t>Instalacja gazowa</t>
  </si>
  <si>
    <t>Stolarka okienna, drzwiowa zewnętrzna</t>
  </si>
  <si>
    <t xml:space="preserve">Instalacja energii elektrycznej </t>
  </si>
  <si>
    <t>Przyłącze wodne</t>
  </si>
  <si>
    <t>Przyłącze kanalizacyjne</t>
  </si>
  <si>
    <t>Przyłącze gazowe</t>
  </si>
  <si>
    <t>Przyłącze energetyczne</t>
  </si>
  <si>
    <t>STAN ZEROWY</t>
  </si>
  <si>
    <t>PRZYŁĄCZA</t>
  </si>
  <si>
    <t>STAN  SUROWY</t>
  </si>
  <si>
    <t>Część dla specjalisty w BANKU</t>
  </si>
  <si>
    <t>INSTALACJE</t>
  </si>
  <si>
    <t>Elementy ślusarsko-kowalskie (poręcze, balustrady)</t>
  </si>
  <si>
    <t>Ściany konstrukcyjne zewnętrzne, kominy dymowe i wentylacyjne</t>
  </si>
  <si>
    <t>Podpiwniczenie</t>
  </si>
  <si>
    <t>[%]</t>
  </si>
  <si>
    <t>Aktualne zaawansowanie</t>
  </si>
  <si>
    <t>STAN WYKOŃCZENIOWY "Pod klucz"</t>
  </si>
  <si>
    <t>Opis, uwagi (wyjaśniające koszty):
np. materiał i liczba dla materiałów[m2, sztuki]</t>
  </si>
  <si>
    <t>% zaawansowania prac wykonanych</t>
  </si>
  <si>
    <t>Koszt elementu</t>
  </si>
  <si>
    <t>Ściany podziemia (podpiwniczenie)</t>
  </si>
  <si>
    <t>Przyłącze inne, jakie ?</t>
  </si>
  <si>
    <t>Instalacja c.o.: źródło ciepła i rozprowadzenie ciepła</t>
  </si>
  <si>
    <t>Fundamenty, ściany fundamentowe, izolacje , płyta fundamentowa</t>
  </si>
  <si>
    <t>Garaż wolnostojcy, mała architektura</t>
  </si>
  <si>
    <t>TAK</t>
  </si>
  <si>
    <t>Kod pocztowy:</t>
  </si>
  <si>
    <t>Województwo:</t>
  </si>
  <si>
    <t>Opis wydatkowania środków 
(jeśli inny niż wykonanie prac)</t>
  </si>
  <si>
    <t>Elementy robót budowlanych</t>
  </si>
  <si>
    <t xml:space="preserve">Całkowity koszt elementu </t>
  </si>
  <si>
    <t>Zasady wypełniania formularza</t>
  </si>
  <si>
    <t>wymaga uzupełnienia</t>
  </si>
  <si>
    <t>czerwonym</t>
  </si>
  <si>
    <t xml:space="preserve">wartość do korekty, błąd w wypełnieniu </t>
  </si>
  <si>
    <t xml:space="preserve">Wydruk kosztorysu: </t>
  </si>
  <si>
    <t>*Jeżeli wnioskodawca jest jedynym właścicielem działki i nabył ze środków własnych, albo kredyt na działkę został już spłacony, to wartość działki pomniejsza wymagany wkład własny na budowę</t>
  </si>
  <si>
    <t>Instalacja wodna, kanalizacyjna 
(biały montaż jeśli brak wykończenia "pod klucz")</t>
  </si>
  <si>
    <t>Ogrodzenia, bramy, furtki itp.</t>
  </si>
  <si>
    <t>Instalacje ogrodowe</t>
  </si>
  <si>
    <t>Prace inne……………………….</t>
  </si>
  <si>
    <t xml:space="preserve">Stolarka drzwiowa wewnętrzna </t>
  </si>
  <si>
    <t xml:space="preserve">Podłogi </t>
  </si>
  <si>
    <t>Glazura</t>
  </si>
  <si>
    <t>Zabudowa stała kuchenna (bez AGD)</t>
  </si>
  <si>
    <t>Zabudowa stała pozostała (szafy wbudowane itp.)</t>
  </si>
  <si>
    <t>Wykończenie inne - jakie…</t>
  </si>
  <si>
    <t>Stropy (w tym tarasy, balkony)</t>
  </si>
  <si>
    <t>Ściany działowe</t>
  </si>
  <si>
    <t xml:space="preserve">Wykończenie podłóg </t>
  </si>
  <si>
    <t>Schody (konstrukcja + wykończenie)</t>
  </si>
  <si>
    <t>Ocieplenie dachu</t>
  </si>
  <si>
    <t>Biały montaż (armatura łazienkowa, wc itp.)</t>
  </si>
  <si>
    <t>Inne……</t>
  </si>
  <si>
    <t>Inne prace remontowo-budowlane 1</t>
  </si>
  <si>
    <t>Inne prace remontowo-budowlane 2</t>
  </si>
  <si>
    <t>Inne prace remontowo-budowlane 3</t>
  </si>
  <si>
    <t>Inne prace remontowo-budowlane 4</t>
  </si>
  <si>
    <t>Inne prace remontowo-budowlane 5</t>
  </si>
  <si>
    <t>Inne prace remontowo-budowlane 6</t>
  </si>
  <si>
    <t>Elewacja - ocieplenie, tynk zewnętrzny</t>
  </si>
  <si>
    <t>Wykończenie ściań (glazura, malowanie, tapety itp.)</t>
  </si>
  <si>
    <t>Tynki wewnętrzne</t>
  </si>
  <si>
    <t>Podłoża, wylewki, szlichta posadzki</t>
  </si>
  <si>
    <t>Instalacja OZE (fotowoltaika, panele słoneczne, wiatraki, inne)</t>
  </si>
  <si>
    <t>Inne instalacje</t>
  </si>
  <si>
    <t>Utwardzenia terenu (kostka brukowa, płyty betonowe itp.)</t>
  </si>
  <si>
    <t>Konstrukcja i pokrycie dachu</t>
  </si>
  <si>
    <t>STAN "DEWELOPERSKI"</t>
  </si>
  <si>
    <t>Powierzchnia całkowita</t>
  </si>
  <si>
    <t>Docelowy standard wykończenia</t>
  </si>
  <si>
    <t>wielorodzinny</t>
  </si>
  <si>
    <t>ZAGOSPODAROWANIE TERENU</t>
  </si>
  <si>
    <t>INNE PRACE REMONTOWO-BUDOWLANE</t>
  </si>
  <si>
    <t>Strop na poziomie zero, schody podziemia (podpiwniczenie)</t>
  </si>
  <si>
    <t xml:space="preserve">Inwestor/Kredytobiorca: </t>
  </si>
  <si>
    <t>Rodzaj nieruchomości:</t>
  </si>
  <si>
    <t>Rodzaj inwestycji:</t>
  </si>
  <si>
    <t>piwnica</t>
  </si>
  <si>
    <t>kondygnacje</t>
  </si>
  <si>
    <t>Cała budowa</t>
  </si>
  <si>
    <t>bliźniacza</t>
  </si>
  <si>
    <t>NIE</t>
  </si>
  <si>
    <t>szeregowa</t>
  </si>
  <si>
    <t>dewelop</t>
  </si>
  <si>
    <t>Współczynnik regionalny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</si>
  <si>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</si>
  <si>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</si>
  <si>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</si>
  <si>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</si>
  <si>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</si>
  <si>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</si>
  <si>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</si>
  <si>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</si>
  <si>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</si>
  <si>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</si>
  <si>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</si>
  <si>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</si>
  <si>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</si>
  <si>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</si>
  <si>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</si>
  <si>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</si>
  <si>
    <r>
      <t>Powierzchnia użytkowa [m</t>
    </r>
    <r>
      <rPr>
        <vertAlign val="superscript"/>
        <sz val="10"/>
        <rFont val="Arial"/>
        <family val="2"/>
        <charset val="238"/>
      </rPr>
      <t>2</t>
    </r>
    <r>
      <rPr>
        <sz val="10"/>
        <rFont val="Arial"/>
        <family val="2"/>
        <charset val="238"/>
      </rPr>
      <t>]</t>
    </r>
  </si>
  <si>
    <r>
      <t>Powierzchnia zabudowy [m</t>
    </r>
    <r>
      <rPr>
        <vertAlign val="superscript"/>
        <sz val="10"/>
        <rFont val="Arial"/>
        <family val="2"/>
        <charset val="238"/>
      </rPr>
      <t>2</t>
    </r>
    <r>
      <rPr>
        <sz val="10"/>
        <rFont val="Arial"/>
        <family val="2"/>
        <charset val="238"/>
      </rPr>
      <t xml:space="preserve">] </t>
    </r>
  </si>
  <si>
    <t>Wnioskowany kredyt na pokrycie kosztów budowy / remontu / wykończenia[zł]</t>
  </si>
  <si>
    <t>Ogółem koszty:</t>
  </si>
  <si>
    <t>Planowany wkład własny:</t>
  </si>
  <si>
    <t>Cena zakupu lub aktualna wartość nieuchomości w stanie na dzień przed rozpoczęciem prac z kosztorysu</t>
  </si>
  <si>
    <t>NOWY</t>
  </si>
  <si>
    <t>STARY</t>
  </si>
  <si>
    <t>Inne instalacje…</t>
  </si>
  <si>
    <t>Budowa</t>
  </si>
  <si>
    <t>Ekrany</t>
  </si>
  <si>
    <t>+</t>
  </si>
  <si>
    <t>Budowa z generalnym wykonawcą</t>
  </si>
  <si>
    <t>Deweloperski</t>
  </si>
  <si>
    <t>Podwyższony</t>
  </si>
  <si>
    <t>Wysoki</t>
  </si>
  <si>
    <t>Inny</t>
  </si>
  <si>
    <t>% sekcja</t>
  </si>
  <si>
    <t>% wykonania ogółem</t>
  </si>
  <si>
    <t>Rodzaj zabudowy:</t>
  </si>
  <si>
    <t>Remont</t>
  </si>
  <si>
    <t>"Formaty warunkowe = F"</t>
  </si>
  <si>
    <t>Prace wykończeniowe</t>
  </si>
  <si>
    <t>Remont wymagający zgłoszenia lub pozwolenia nabudowę</t>
  </si>
  <si>
    <t>Przebudowa/Rozbudowa/Nadbudowa</t>
  </si>
  <si>
    <t>pozostało</t>
  </si>
  <si>
    <t>1. Transza po wykonaniu</t>
  </si>
  <si>
    <t>Mała architektura</t>
  </si>
  <si>
    <t>Wykończenie podłóg (gres, terakota, parkiet, panele itp.)</t>
  </si>
  <si>
    <t>Zabudowa stała kuchenna</t>
  </si>
  <si>
    <t>Warszawa</t>
  </si>
  <si>
    <t>Stawka podstawowa</t>
  </si>
  <si>
    <t>Stawka regionalna</t>
  </si>
  <si>
    <t>LM Parametr standard</t>
  </si>
  <si>
    <t>plus na kuchnię i łazienkę</t>
  </si>
  <si>
    <t>LM wykończenie m2</t>
  </si>
  <si>
    <t>LM wykończenie całość</t>
  </si>
  <si>
    <t>zł/m2</t>
  </si>
  <si>
    <t>zł</t>
  </si>
  <si>
    <t>Parametr %</t>
  </si>
  <si>
    <t>Średnie koszty</t>
  </si>
  <si>
    <t>parametry</t>
  </si>
  <si>
    <t>Parametr dla standardu Deweloperskiego</t>
  </si>
  <si>
    <t>Paramert który nie jest doliczny do ceny m2 i wykracza ponad 100%</t>
  </si>
  <si>
    <t>Parametry powinny sumować się na 100% bez przyłączy</t>
  </si>
  <si>
    <t>Piwnica</t>
  </si>
  <si>
    <t>Zabudowa bliżniacza</t>
  </si>
  <si>
    <t>Kondygnacje więcej niż 2</t>
  </si>
  <si>
    <t>Zabudowa szeregowa</t>
  </si>
  <si>
    <t>Dom pasywny</t>
  </si>
  <si>
    <t>parametr do dodania w przyszłości</t>
  </si>
  <si>
    <t>BMJ Parametr standard</t>
  </si>
  <si>
    <r>
      <t xml:space="preserve">Aktualne zaawansowanie wg firmy zewnętrznej
</t>
    </r>
    <r>
      <rPr>
        <b/>
        <sz val="10"/>
        <color theme="9"/>
        <rFont val="Arial"/>
        <family val="2"/>
        <charset val="238"/>
      </rPr>
      <t>Różnica w stosunku do przeciętnych kosztów</t>
    </r>
  </si>
  <si>
    <t>1 kolumna</t>
  </si>
  <si>
    <t>2 kolumna</t>
  </si>
  <si>
    <t>4 kolumna</t>
  </si>
  <si>
    <t>5 kolumna</t>
  </si>
  <si>
    <t>6 kolumna</t>
  </si>
  <si>
    <t>3 kolumna</t>
  </si>
  <si>
    <t xml:space="preserve">Transze w HŻ będą na odrębnej karcie </t>
  </si>
  <si>
    <t>Przed dewelopmentem potwierdźmy układ na stronie</t>
  </si>
  <si>
    <t>Akceptowane różnice sygnały</t>
  </si>
  <si>
    <t>zielony</t>
  </si>
  <si>
    <t>czerwony</t>
  </si>
  <si>
    <t>Parametr zmiany ze względu na powierzchnię</t>
  </si>
  <si>
    <t>Tym kolorem zaznaczyłem paramerty do tabeli parametrów</t>
  </si>
  <si>
    <t>Średni</t>
  </si>
  <si>
    <t>wolnostojąca</t>
  </si>
  <si>
    <r>
      <rPr>
        <b/>
        <sz val="10"/>
        <rFont val="Arial"/>
        <family val="2"/>
        <charset val="238"/>
      </rPr>
      <t>Miejscowość |</t>
    </r>
    <r>
      <rPr>
        <sz val="10"/>
        <rFont val="Arial"/>
        <family val="2"/>
        <charset val="238"/>
      </rPr>
      <t xml:space="preserve"> 
ulica, nr budynku 
lub nr działki
nr lokalu (jeżeli dotyczy)</t>
    </r>
  </si>
  <si>
    <t>Tynki wewnętrzne (wszystkie pomieszczenia)</t>
  </si>
  <si>
    <t>Podłoża, wylewki  (wszystkie pomieszczenia)</t>
  </si>
  <si>
    <t>Kosztorys prac budowlanych/ remontowych/ wykończeniowych</t>
  </si>
  <si>
    <t>Przyłącza</t>
  </si>
  <si>
    <t>Stan zerowy</t>
  </si>
  <si>
    <t>Stan surowy</t>
  </si>
  <si>
    <t>Stan deweloperski</t>
  </si>
  <si>
    <t>Instalacje</t>
  </si>
  <si>
    <t>Stan wykończeniowy "Pod klucz"</t>
  </si>
  <si>
    <t>Zagospodarowanie terenu</t>
  </si>
  <si>
    <t>Inne prace remontowo-budowlane</t>
  </si>
  <si>
    <r>
      <rPr>
        <b/>
        <sz val="10"/>
        <color rgb="FFD10710"/>
        <rFont val="Arial"/>
        <family val="2"/>
        <charset val="238"/>
      </rPr>
      <t>Twój podpis</t>
    </r>
    <r>
      <rPr>
        <sz val="10"/>
        <color rgb="FFD10710"/>
        <rFont val="Arial"/>
        <family val="2"/>
        <charset val="238"/>
      </rPr>
      <t xml:space="preserve">
</t>
    </r>
    <r>
      <rPr>
        <b/>
        <sz val="9"/>
        <color rgb="FFD10710"/>
        <rFont val="Arial"/>
        <family val="2"/>
        <charset val="238"/>
      </rPr>
      <t>(nie dotyczy przypadku, gdy dokument będzie składany w postaci elektronicznej)</t>
    </r>
  </si>
  <si>
    <t xml:space="preserve">Data: </t>
  </si>
  <si>
    <t>Formularz wykorzystasz do określenia prac na etapie składania wniosku kredytowego</t>
  </si>
  <si>
    <t>Pole formularza oznaczyliśmy 
kolorem</t>
  </si>
  <si>
    <t>nie wymaga uzupełnienia</t>
  </si>
  <si>
    <t>białym</t>
  </si>
  <si>
    <t>szarym</t>
  </si>
  <si>
    <t xml:space="preserve">Jeśli wydrukujesz kosztorys na 2 lub więcej stronach musisz zaparafować każdą stronę </t>
  </si>
  <si>
    <t xml:space="preserve">i podpisać kosztorys na ostatniej stronie (wymagamy podpisów wszystkich wnioskodawców)  </t>
  </si>
  <si>
    <t xml:space="preserve">W kosztorysie wprowadzasz prace budowlane i koszty poniesione przez Ciebie od od momentu nabycia nieruchomości </t>
  </si>
  <si>
    <t>wer. 03</t>
  </si>
  <si>
    <t>Termin zakończenia inwestycji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</si>
</sst>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* #,##0.00\ &quot;zł&quot;_-;\-* #,##0.00\ &quot;zł&quot;_-;_-* &quot;-&quot;??\ &quot;zł&quot;_-;_-@_-"/>
    <numFmt numFmtId="164" formatCode="_-* #,##0.00\ _z_ł_-;\-* #,##0.00\ _z_ł_-;_-* &quot;-&quot;??\ _z_ł_-;_-@_-"/>
    <numFmt numFmtId="165" formatCode="0.0%"/>
    <numFmt numFmtId="166" formatCode="_-* #,##0\ _z_ł_-;\-* #,##0\ _z_ł_-;_-* &quot;-&quot;??\ _z_ł_-;_-@_-"/>
    <numFmt numFmtId="167" formatCode="0.000%"/>
    <numFmt numFmtId="168" formatCode="yyyy\-mm\-dd;@"/>
    <numFmt numFmtId="169" formatCode="00\-000"/>
    <numFmt numFmtId="170" formatCode="_-* #,##0\ &quot;zł&quot;_-;\-* #,##0\ &quot;zł&quot;_-;_-* &quot;-&quot;??\ &quot;zł&quot;_-;_-@_-"/>
  </numFmts>
  <fonts count="40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0"/>
      <name val="Wingdings"/>
      <charset val="2"/>
    </font>
    <font>
      <b/>
      <sz val="10"/>
      <name val="Arial CE"/>
      <charset val="238"/>
    </font>
    <font>
      <sz val="9"/>
      <color theme="9" tint="-0.249977111117893"/>
      <name val="Arial CE"/>
      <charset val="238"/>
    </font>
    <font>
      <sz val="10"/>
      <color theme="9" tint="-0.249977111117893"/>
      <name val="Arial"/>
      <family val="2"/>
      <charset val="238"/>
    </font>
    <font>
      <sz val="10"/>
      <color theme="9" tint="-0.249977111117893"/>
      <name val="Arial CE"/>
      <charset val="238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i/>
      <sz val="10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b/>
      <sz val="16"/>
      <color theme="0"/>
      <name val="Arial"/>
      <family val="2"/>
      <charset val="238"/>
    </font>
    <font>
      <sz val="16"/>
      <color theme="0"/>
      <name val="Arial"/>
      <family val="2"/>
      <charset val="238"/>
    </font>
    <font>
      <sz val="16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b/>
      <sz val="10"/>
      <color theme="0"/>
      <name val="Arial"/>
      <family val="2"/>
      <charset val="238"/>
    </font>
    <font>
      <sz val="10"/>
      <color theme="0"/>
      <name val="Arial"/>
      <family val="2"/>
      <charset val="238"/>
    </font>
    <font>
      <sz val="8"/>
      <color rgb="FF000000"/>
      <name val="Segoe UI"/>
      <family val="2"/>
      <charset val="238"/>
    </font>
    <font>
      <vertAlign val="superscript"/>
      <sz val="10"/>
      <name val="Arial"/>
      <family val="2"/>
      <charset val="238"/>
    </font>
    <font>
      <b/>
      <sz val="10"/>
      <color theme="0" tint="-4.9989318521683403E-2"/>
      <name val="Arial"/>
      <family val="2"/>
      <charset val="238"/>
    </font>
    <font>
      <i/>
      <sz val="9"/>
      <name val="Arial"/>
      <family val="2"/>
      <charset val="238"/>
    </font>
    <font>
      <sz val="11"/>
      <name val="Arial"/>
      <family val="2"/>
      <charset val="238"/>
    </font>
    <font>
      <b/>
      <sz val="11"/>
      <name val="Arial"/>
      <family val="2"/>
      <charset val="238"/>
    </font>
    <font>
      <sz val="8"/>
      <name val="Arial"/>
      <family val="2"/>
      <charset val="238"/>
    </font>
    <font>
      <sz val="8"/>
      <name val="Arial CE"/>
      <charset val="238"/>
    </font>
    <font>
      <sz val="11"/>
      <name val="Arial CE"/>
      <charset val="238"/>
    </font>
    <font>
      <sz val="11"/>
      <color theme="9" tint="-0.249977111117893"/>
      <name val="Arial CE"/>
      <charset val="238"/>
    </font>
    <font>
      <b/>
      <sz val="10"/>
      <color theme="9"/>
      <name val="Arial"/>
      <family val="2"/>
      <charset val="238"/>
    </font>
    <font>
      <sz val="11"/>
      <color theme="0"/>
      <name val="Arial CE"/>
      <charset val="238"/>
    </font>
    <font>
      <b/>
      <sz val="14"/>
      <color rgb="FFD10710"/>
      <name val="Arial"/>
      <family val="2"/>
      <charset val="238"/>
    </font>
    <font>
      <b/>
      <sz val="10"/>
      <color rgb="FFD10710"/>
      <name val="Arial CE"/>
      <charset val="238"/>
    </font>
    <font>
      <b/>
      <sz val="10"/>
      <color rgb="FFD10710"/>
      <name val="Arial"/>
      <family val="2"/>
      <charset val="238"/>
    </font>
    <font>
      <sz val="10"/>
      <color rgb="FFD10710"/>
      <name val="Arial"/>
      <family val="2"/>
      <charset val="238"/>
    </font>
    <font>
      <b/>
      <sz val="9"/>
      <color rgb="FFD10710"/>
      <name val="Arial"/>
      <family val="2"/>
      <charset val="238"/>
    </font>
    <font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F2F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D10710"/>
      </bottom>
      <diagonal/>
    </border>
    <border>
      <left/>
      <right/>
      <top style="medium">
        <color rgb="FFD1071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rgb="FFC00000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</cellStyleXfs>
  <cellXfs count="285">
    <xf numFmtId="0" fontId="0" fillId="0" borderId="0" xfId="0"/>
    <xf numFmtId="0" fontId="3" fillId="0" borderId="0" xfId="0" applyFont="1" applyProtection="1">
      <protection hidden="1"/>
    </xf>
    <xf numFmtId="0" fontId="10" fillId="0" borderId="0" xfId="0" applyFont="1" applyProtection="1">
      <protection hidden="1"/>
    </xf>
    <xf numFmtId="44" fontId="3" fillId="0" borderId="0" xfId="0" applyNumberFormat="1" applyFont="1" applyProtection="1">
      <protection hidden="1"/>
    </xf>
    <xf numFmtId="0" fontId="3" fillId="0" borderId="0" xfId="0" applyFont="1" applyAlignment="1" applyProtection="1">
      <alignment vertical="center" wrapText="1"/>
      <protection hidden="1"/>
    </xf>
    <xf numFmtId="0" fontId="4" fillId="0" borderId="0" xfId="0" applyFont="1" applyProtection="1">
      <protection hidden="1"/>
    </xf>
    <xf numFmtId="0" fontId="4" fillId="0" borderId="0" xfId="0" applyFont="1" applyAlignment="1" applyProtection="1">
      <alignment horizontal="right"/>
      <protection hidden="1"/>
    </xf>
    <xf numFmtId="0" fontId="6" fillId="0" borderId="0" xfId="0" applyFont="1" applyProtection="1">
      <protection hidden="1"/>
    </xf>
    <xf numFmtId="0" fontId="3" fillId="0" borderId="0" xfId="0" applyFont="1" applyAlignment="1" applyProtection="1">
      <alignment horizontal="left" indent="1"/>
      <protection hidden="1"/>
    </xf>
    <xf numFmtId="0" fontId="3" fillId="0" borderId="0" xfId="0" applyFont="1" applyAlignment="1" applyProtection="1">
      <alignment horizontal="left" indent="13"/>
      <protection hidden="1"/>
    </xf>
    <xf numFmtId="165" fontId="4" fillId="5" borderId="0" xfId="1" applyNumberFormat="1" applyFont="1" applyFill="1" applyBorder="1" applyAlignment="1" applyProtection="1">
      <alignment horizontal="center" vertical="center"/>
      <protection hidden="1"/>
    </xf>
    <xf numFmtId="165" fontId="4" fillId="5" borderId="10" xfId="1" applyNumberFormat="1" applyFont="1" applyFill="1" applyBorder="1" applyAlignment="1" applyProtection="1">
      <alignment horizontal="center" vertical="center"/>
      <protection hidden="1"/>
    </xf>
    <xf numFmtId="44" fontId="4" fillId="0" borderId="0" xfId="2" applyFont="1" applyFill="1" applyBorder="1" applyAlignment="1" applyProtection="1">
      <protection locked="0" hidden="1"/>
    </xf>
    <xf numFmtId="168" fontId="4" fillId="0" borderId="0" xfId="2" applyNumberFormat="1" applyFont="1" applyFill="1" applyBorder="1" applyAlignment="1" applyProtection="1">
      <protection locked="0" hidden="1"/>
    </xf>
    <xf numFmtId="44" fontId="4" fillId="0" borderId="23" xfId="2" applyFont="1" applyFill="1" applyBorder="1" applyAlignment="1" applyProtection="1">
      <protection locked="0" hidden="1"/>
    </xf>
    <xf numFmtId="168" fontId="4" fillId="0" borderId="0" xfId="2" applyNumberFormat="1" applyFont="1" applyFill="1" applyBorder="1" applyProtection="1">
      <protection locked="0" hidden="1"/>
    </xf>
    <xf numFmtId="168" fontId="4" fillId="0" borderId="0" xfId="2" applyNumberFormat="1" applyFont="1" applyFill="1" applyBorder="1" applyAlignment="1" applyProtection="1">
      <alignment horizontal="left" indent="1"/>
      <protection locked="0" hidden="1"/>
    </xf>
    <xf numFmtId="44" fontId="4" fillId="0" borderId="10" xfId="2" applyFont="1" applyFill="1" applyBorder="1" applyAlignment="1" applyProtection="1">
      <protection locked="0" hidden="1"/>
    </xf>
    <xf numFmtId="168" fontId="4" fillId="0" borderId="10" xfId="2" applyNumberFormat="1" applyFont="1" applyFill="1" applyBorder="1" applyAlignment="1" applyProtection="1">
      <alignment horizontal="left" indent="13"/>
      <protection locked="0" hidden="1"/>
    </xf>
    <xf numFmtId="44" fontId="4" fillId="0" borderId="25" xfId="2" applyFont="1" applyFill="1" applyBorder="1" applyAlignment="1" applyProtection="1">
      <protection locked="0" hidden="1"/>
    </xf>
    <xf numFmtId="0" fontId="3" fillId="0" borderId="0" xfId="0" applyFont="1" applyProtection="1">
      <protection locked="0" hidden="1"/>
    </xf>
    <xf numFmtId="0" fontId="3" fillId="0" borderId="0" xfId="0" applyFont="1" applyAlignment="1" applyProtection="1">
      <alignment horizontal="left" vertical="center"/>
      <protection locked="0"/>
    </xf>
    <xf numFmtId="0" fontId="15" fillId="6" borderId="0" xfId="4" applyFont="1" applyFill="1" applyAlignment="1">
      <alignment vertical="center"/>
    </xf>
    <xf numFmtId="0" fontId="16" fillId="6" borderId="0" xfId="4" applyFont="1" applyFill="1" applyAlignment="1">
      <alignment vertical="center"/>
    </xf>
    <xf numFmtId="0" fontId="17" fillId="6" borderId="0" xfId="4" applyFont="1" applyFill="1" applyAlignment="1">
      <alignment horizontal="left" vertical="center"/>
    </xf>
    <xf numFmtId="0" fontId="17" fillId="6" borderId="0" xfId="4" applyFont="1" applyFill="1" applyAlignment="1">
      <alignment vertical="center"/>
    </xf>
    <xf numFmtId="0" fontId="17" fillId="3" borderId="0" xfId="4" applyFont="1" applyFill="1" applyAlignment="1">
      <alignment vertical="center"/>
    </xf>
    <xf numFmtId="0" fontId="18" fillId="3" borderId="0" xfId="4" applyFont="1" applyFill="1" applyAlignment="1">
      <alignment vertical="center"/>
    </xf>
    <xf numFmtId="0" fontId="19" fillId="3" borderId="0" xfId="4" applyFont="1" applyFill="1" applyAlignment="1">
      <alignment vertical="center"/>
    </xf>
    <xf numFmtId="0" fontId="19" fillId="3" borderId="0" xfId="4" applyFont="1" applyFill="1" applyAlignment="1">
      <alignment horizontal="left" vertical="center"/>
    </xf>
    <xf numFmtId="0" fontId="18" fillId="3" borderId="2" xfId="4" applyFont="1" applyFill="1" applyBorder="1" applyAlignment="1">
      <alignment vertical="center"/>
    </xf>
    <xf numFmtId="0" fontId="18" fillId="2" borderId="2" xfId="4" applyFont="1" applyFill="1" applyBorder="1" applyAlignment="1">
      <alignment vertical="center"/>
    </xf>
    <xf numFmtId="0" fontId="20" fillId="6" borderId="2" xfId="4" applyFont="1" applyFill="1" applyBorder="1" applyAlignment="1">
      <alignment vertical="center"/>
    </xf>
    <xf numFmtId="0" fontId="21" fillId="3" borderId="0" xfId="4" applyFont="1" applyFill="1" applyAlignment="1">
      <alignment vertical="center"/>
    </xf>
    <xf numFmtId="0" fontId="1" fillId="3" borderId="0" xfId="4" applyFill="1" applyAlignment="1">
      <alignment vertical="center"/>
    </xf>
    <xf numFmtId="0" fontId="20" fillId="7" borderId="8" xfId="4" applyFont="1" applyFill="1" applyBorder="1" applyAlignment="1">
      <alignment vertical="center"/>
    </xf>
    <xf numFmtId="0" fontId="14" fillId="7" borderId="11" xfId="4" applyFont="1" applyFill="1" applyBorder="1" applyAlignment="1">
      <alignment vertical="center"/>
    </xf>
    <xf numFmtId="0" fontId="14" fillId="7" borderId="16" xfId="4" applyFont="1" applyFill="1" applyBorder="1" applyAlignment="1">
      <alignment vertical="center"/>
    </xf>
    <xf numFmtId="167" fontId="3" fillId="0" borderId="0" xfId="1" applyNumberFormat="1" applyFont="1" applyFill="1" applyProtection="1">
      <protection hidden="1"/>
    </xf>
    <xf numFmtId="0" fontId="3" fillId="5" borderId="6" xfId="0" applyFont="1" applyFill="1" applyBorder="1" applyAlignment="1" applyProtection="1">
      <alignment horizontal="right" vertical="center"/>
      <protection hidden="1"/>
    </xf>
    <xf numFmtId="0" fontId="3" fillId="5" borderId="6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3" fillId="0" borderId="33" xfId="0" applyFont="1" applyBorder="1" applyAlignment="1" applyProtection="1">
      <alignment horizontal="center" vertical="center" wrapText="1"/>
      <protection hidden="1"/>
    </xf>
    <xf numFmtId="0" fontId="3" fillId="0" borderId="34" xfId="0" applyFont="1" applyBorder="1" applyAlignment="1" applyProtection="1">
      <alignment horizontal="center" vertical="center"/>
      <protection hidden="1"/>
    </xf>
    <xf numFmtId="0" fontId="0" fillId="9" borderId="0" xfId="0" applyFill="1"/>
    <xf numFmtId="0" fontId="0" fillId="4" borderId="0" xfId="0" applyFill="1"/>
    <xf numFmtId="0" fontId="3" fillId="0" borderId="0" xfId="0" applyFont="1" applyAlignment="1">
      <alignment wrapText="1"/>
    </xf>
    <xf numFmtId="0" fontId="3" fillId="0" borderId="0" xfId="0" applyFont="1"/>
    <xf numFmtId="9" fontId="3" fillId="0" borderId="0" xfId="0" applyNumberFormat="1" applyFont="1"/>
    <xf numFmtId="165" fontId="3" fillId="0" borderId="0" xfId="1" applyNumberFormat="1" applyFont="1"/>
    <xf numFmtId="9" fontId="0" fillId="0" borderId="0" xfId="1" applyFont="1"/>
    <xf numFmtId="1" fontId="0" fillId="0" borderId="0" xfId="0" applyNumberFormat="1"/>
    <xf numFmtId="9" fontId="3" fillId="0" borderId="0" xfId="1" applyFont="1"/>
    <xf numFmtId="2" fontId="3" fillId="0" borderId="0" xfId="1" applyNumberFormat="1" applyFont="1"/>
    <xf numFmtId="0" fontId="3" fillId="5" borderId="6" xfId="0" applyFont="1" applyFill="1" applyBorder="1" applyAlignment="1" applyProtection="1">
      <alignment horizontal="right" vertical="center" wrapText="1"/>
      <protection hidden="1"/>
    </xf>
    <xf numFmtId="0" fontId="3" fillId="5" borderId="6" xfId="0" applyFont="1" applyFill="1" applyBorder="1" applyAlignment="1" applyProtection="1">
      <alignment horizontal="left" vertical="center" wrapText="1"/>
      <protection hidden="1"/>
    </xf>
    <xf numFmtId="0" fontId="4" fillId="5" borderId="24" xfId="0" applyFont="1" applyFill="1" applyBorder="1" applyAlignment="1" applyProtection="1">
      <alignment horizontal="right" vertical="center"/>
      <protection hidden="1"/>
    </xf>
    <xf numFmtId="0" fontId="0" fillId="2" borderId="0" xfId="0" applyFill="1"/>
    <xf numFmtId="0" fontId="3" fillId="3" borderId="0" xfId="0" applyFont="1" applyFill="1" applyProtection="1">
      <protection hidden="1"/>
    </xf>
    <xf numFmtId="9" fontId="3" fillId="3" borderId="0" xfId="1" applyFont="1" applyFill="1" applyBorder="1" applyProtection="1">
      <protection hidden="1"/>
    </xf>
    <xf numFmtId="166" fontId="3" fillId="3" borderId="0" xfId="3" applyNumberFormat="1" applyFont="1" applyFill="1" applyBorder="1" applyProtection="1">
      <protection hidden="1"/>
    </xf>
    <xf numFmtId="44" fontId="3" fillId="3" borderId="0" xfId="2" applyFont="1" applyFill="1" applyBorder="1" applyProtection="1">
      <protection hidden="1"/>
    </xf>
    <xf numFmtId="165" fontId="3" fillId="3" borderId="0" xfId="0" applyNumberFormat="1" applyFont="1" applyFill="1" applyProtection="1">
      <protection hidden="1"/>
    </xf>
    <xf numFmtId="0" fontId="24" fillId="5" borderId="8" xfId="0" applyFont="1" applyFill="1" applyBorder="1" applyAlignment="1" applyProtection="1">
      <alignment horizontal="center" vertical="center"/>
      <protection hidden="1"/>
    </xf>
    <xf numFmtId="0" fontId="3" fillId="5" borderId="5" xfId="0" applyFont="1" applyFill="1" applyBorder="1" applyAlignment="1" applyProtection="1">
      <alignment horizontal="right" vertical="center"/>
      <protection hidden="1"/>
    </xf>
    <xf numFmtId="0" fontId="3" fillId="0" borderId="30" xfId="0" applyFont="1" applyBorder="1" applyAlignment="1" applyProtection="1">
      <alignment vertical="center"/>
      <protection locked="0"/>
    </xf>
    <xf numFmtId="169" fontId="3" fillId="0" borderId="18" xfId="0" applyNumberFormat="1" applyFont="1" applyBorder="1" applyAlignment="1" applyProtection="1">
      <alignment vertical="center"/>
      <protection locked="0"/>
    </xf>
    <xf numFmtId="0" fontId="3" fillId="0" borderId="18" xfId="0" applyFont="1" applyBorder="1" applyAlignment="1" applyProtection="1">
      <alignment vertical="center"/>
      <protection locked="0"/>
    </xf>
    <xf numFmtId="0" fontId="3" fillId="0" borderId="18" xfId="0" applyFont="1" applyBorder="1" applyAlignment="1" applyProtection="1">
      <alignment horizontal="left" vertical="center"/>
      <protection locked="0"/>
    </xf>
    <xf numFmtId="44" fontId="7" fillId="0" borderId="19" xfId="2" applyFont="1" applyFill="1" applyBorder="1" applyAlignment="1" applyProtection="1">
      <alignment horizontal="right" vertical="center"/>
      <protection locked="0"/>
    </xf>
    <xf numFmtId="0" fontId="4" fillId="5" borderId="13" xfId="0" applyFont="1" applyFill="1" applyBorder="1" applyProtection="1">
      <protection hidden="1"/>
    </xf>
    <xf numFmtId="0" fontId="3" fillId="0" borderId="17" xfId="0" applyFont="1" applyBorder="1" applyAlignment="1" applyProtection="1">
      <alignment horizontal="left" vertical="center"/>
      <protection hidden="1"/>
    </xf>
    <xf numFmtId="0" fontId="3" fillId="0" borderId="17" xfId="0" applyFont="1" applyBorder="1" applyAlignment="1" applyProtection="1">
      <alignment horizontal="center" vertical="center" wrapText="1"/>
      <protection hidden="1"/>
    </xf>
    <xf numFmtId="44" fontId="0" fillId="0" borderId="0" xfId="0" applyNumberFormat="1"/>
    <xf numFmtId="9" fontId="3" fillId="0" borderId="0" xfId="1" applyFont="1" applyFill="1" applyProtection="1">
      <protection hidden="1"/>
    </xf>
    <xf numFmtId="0" fontId="0" fillId="10" borderId="0" xfId="0" applyFill="1"/>
    <xf numFmtId="9" fontId="3" fillId="10" borderId="0" xfId="0" applyNumberFormat="1" applyFont="1" applyFill="1"/>
    <xf numFmtId="165" fontId="3" fillId="10" borderId="0" xfId="1" applyNumberFormat="1" applyFont="1" applyFill="1"/>
    <xf numFmtId="0" fontId="3" fillId="10" borderId="0" xfId="0" applyFont="1" applyFill="1"/>
    <xf numFmtId="0" fontId="3" fillId="10" borderId="0" xfId="0" applyFont="1" applyFill="1" applyAlignment="1" applyProtection="1">
      <alignment vertical="center"/>
      <protection hidden="1"/>
    </xf>
    <xf numFmtId="44" fontId="0" fillId="10" borderId="0" xfId="0" applyNumberFormat="1" applyFill="1"/>
    <xf numFmtId="9" fontId="0" fillId="10" borderId="0" xfId="1" applyFont="1" applyFill="1"/>
    <xf numFmtId="9" fontId="0" fillId="0" borderId="0" xfId="1" applyFont="1" applyFill="1"/>
    <xf numFmtId="44" fontId="3" fillId="10" borderId="0" xfId="2" applyFont="1" applyFill="1" applyAlignment="1" applyProtection="1">
      <alignment vertical="center"/>
      <protection hidden="1"/>
    </xf>
    <xf numFmtId="44" fontId="0" fillId="10" borderId="11" xfId="2" applyFont="1" applyFill="1" applyBorder="1" applyAlignment="1" applyProtection="1">
      <alignment horizontal="left" vertical="center"/>
      <protection hidden="1"/>
    </xf>
    <xf numFmtId="44" fontId="3" fillId="0" borderId="0" xfId="2" applyFont="1" applyFill="1" applyAlignment="1" applyProtection="1">
      <alignment vertical="center"/>
      <protection hidden="1"/>
    </xf>
    <xf numFmtId="10" fontId="3" fillId="10" borderId="0" xfId="1" applyNumberFormat="1" applyFont="1" applyFill="1" applyAlignment="1" applyProtection="1">
      <alignment vertical="center"/>
      <protection hidden="1"/>
    </xf>
    <xf numFmtId="10" fontId="3" fillId="0" borderId="0" xfId="1" applyNumberFormat="1" applyFont="1" applyFill="1" applyAlignment="1" applyProtection="1">
      <alignment vertical="center"/>
      <protection hidden="1"/>
    </xf>
    <xf numFmtId="10" fontId="3" fillId="0" borderId="0" xfId="1" applyNumberFormat="1" applyFont="1" applyFill="1" applyBorder="1" applyProtection="1">
      <protection hidden="1"/>
    </xf>
    <xf numFmtId="10" fontId="0" fillId="0" borderId="0" xfId="1" applyNumberFormat="1" applyFont="1" applyFill="1"/>
    <xf numFmtId="10" fontId="0" fillId="10" borderId="0" xfId="1" applyNumberFormat="1" applyFont="1" applyFill="1" applyBorder="1" applyAlignment="1" applyProtection="1">
      <alignment horizontal="left" vertical="center"/>
      <protection hidden="1"/>
    </xf>
    <xf numFmtId="10" fontId="3" fillId="0" borderId="0" xfId="0" applyNumberFormat="1" applyFont="1" applyAlignment="1" applyProtection="1">
      <alignment vertical="center"/>
      <protection hidden="1"/>
    </xf>
    <xf numFmtId="10" fontId="0" fillId="0" borderId="0" xfId="1" applyNumberFormat="1" applyFont="1" applyFill="1" applyBorder="1" applyAlignment="1" applyProtection="1">
      <alignment horizontal="left" vertical="center"/>
      <protection hidden="1"/>
    </xf>
    <xf numFmtId="10" fontId="0" fillId="0" borderId="0" xfId="0" applyNumberFormat="1" applyAlignment="1" applyProtection="1">
      <alignment horizontal="left" vertical="center"/>
      <protection hidden="1"/>
    </xf>
    <xf numFmtId="10" fontId="0" fillId="0" borderId="0" xfId="1" applyNumberFormat="1" applyFont="1" applyFill="1" applyBorder="1" applyAlignment="1" applyProtection="1">
      <alignment horizontal="left" vertical="center" indent="3"/>
      <protection hidden="1"/>
    </xf>
    <xf numFmtId="10" fontId="3" fillId="0" borderId="0" xfId="0" applyNumberFormat="1" applyFont="1" applyProtection="1">
      <protection hidden="1"/>
    </xf>
    <xf numFmtId="10" fontId="0" fillId="0" borderId="0" xfId="0" applyNumberFormat="1"/>
    <xf numFmtId="0" fontId="13" fillId="0" borderId="0" xfId="0" applyFont="1" applyAlignment="1" applyProtection="1">
      <alignment vertical="center"/>
      <protection hidden="1"/>
    </xf>
    <xf numFmtId="0" fontId="3" fillId="0" borderId="0" xfId="0" applyFont="1" applyAlignment="1" applyProtection="1">
      <alignment horizontal="left" vertical="top"/>
      <protection hidden="1"/>
    </xf>
    <xf numFmtId="0" fontId="3" fillId="0" borderId="35" xfId="0" applyFont="1" applyBorder="1" applyAlignment="1" applyProtection="1">
      <alignment vertical="center" wrapText="1"/>
      <protection hidden="1"/>
    </xf>
    <xf numFmtId="0" fontId="3" fillId="0" borderId="6" xfId="0" applyFont="1" applyBorder="1" applyAlignment="1" applyProtection="1">
      <alignment vertical="center" wrapText="1"/>
      <protection hidden="1"/>
    </xf>
    <xf numFmtId="0" fontId="3" fillId="0" borderId="15" xfId="0" applyFont="1" applyBorder="1" applyAlignment="1" applyProtection="1">
      <alignment vertical="center" wrapText="1"/>
      <protection hidden="1"/>
    </xf>
    <xf numFmtId="0" fontId="3" fillId="0" borderId="5" xfId="0" applyFont="1" applyBorder="1" applyAlignment="1" applyProtection="1">
      <alignment vertical="center" wrapText="1"/>
      <protection hidden="1"/>
    </xf>
    <xf numFmtId="0" fontId="3" fillId="0" borderId="0" xfId="0" applyFont="1" applyAlignment="1" applyProtection="1">
      <alignment wrapText="1"/>
      <protection hidden="1"/>
    </xf>
    <xf numFmtId="0" fontId="3" fillId="3" borderId="0" xfId="0" applyFont="1" applyFill="1" applyAlignment="1" applyProtection="1">
      <alignment wrapText="1"/>
      <protection hidden="1"/>
    </xf>
    <xf numFmtId="0" fontId="4" fillId="3" borderId="0" xfId="0" applyFont="1" applyFill="1" applyAlignment="1" applyProtection="1">
      <alignment wrapText="1"/>
      <protection hidden="1"/>
    </xf>
    <xf numFmtId="9" fontId="3" fillId="3" borderId="0" xfId="1" applyFont="1" applyFill="1" applyBorder="1" applyAlignment="1" applyProtection="1">
      <alignment wrapText="1"/>
      <protection hidden="1"/>
    </xf>
    <xf numFmtId="165" fontId="3" fillId="3" borderId="0" xfId="1" applyNumberFormat="1" applyFont="1" applyFill="1" applyBorder="1" applyAlignment="1" applyProtection="1">
      <alignment wrapText="1"/>
      <protection hidden="1"/>
    </xf>
    <xf numFmtId="44" fontId="26" fillId="0" borderId="1" xfId="2" applyFont="1" applyFill="1" applyBorder="1" applyAlignment="1" applyProtection="1">
      <alignment vertical="center" wrapText="1"/>
      <protection locked="0"/>
    </xf>
    <xf numFmtId="44" fontId="26" fillId="0" borderId="2" xfId="2" applyFont="1" applyFill="1" applyBorder="1" applyAlignment="1" applyProtection="1">
      <alignment vertical="center" wrapText="1"/>
      <protection locked="0"/>
    </xf>
    <xf numFmtId="44" fontId="26" fillId="0" borderId="3" xfId="2" applyFont="1" applyFill="1" applyBorder="1" applyAlignment="1" applyProtection="1">
      <alignment vertical="center" wrapText="1"/>
      <protection locked="0"/>
    </xf>
    <xf numFmtId="44" fontId="26" fillId="0" borderId="1" xfId="2" applyFont="1" applyFill="1" applyBorder="1" applyAlignment="1" applyProtection="1">
      <alignment horizontal="right" vertical="center" wrapText="1"/>
      <protection locked="0"/>
    </xf>
    <xf numFmtId="44" fontId="26" fillId="0" borderId="2" xfId="2" applyFont="1" applyFill="1" applyBorder="1" applyAlignment="1" applyProtection="1">
      <alignment horizontal="right" vertical="center" wrapText="1"/>
      <protection locked="0"/>
    </xf>
    <xf numFmtId="44" fontId="27" fillId="5" borderId="0" xfId="2" applyFont="1" applyFill="1" applyBorder="1" applyAlignment="1" applyProtection="1">
      <protection hidden="1"/>
    </xf>
    <xf numFmtId="0" fontId="26" fillId="5" borderId="8" xfId="0" applyFont="1" applyFill="1" applyBorder="1" applyAlignment="1" applyProtection="1">
      <alignment vertical="center"/>
      <protection hidden="1"/>
    </xf>
    <xf numFmtId="44" fontId="0" fillId="10" borderId="0" xfId="2" applyFont="1" applyFill="1"/>
    <xf numFmtId="44" fontId="0" fillId="0" borderId="0" xfId="2" applyFont="1"/>
    <xf numFmtId="9" fontId="3" fillId="10" borderId="0" xfId="1" applyFont="1" applyFill="1"/>
    <xf numFmtId="44" fontId="26" fillId="0" borderId="14" xfId="2" applyFont="1" applyFill="1" applyBorder="1" applyAlignment="1" applyProtection="1"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vertical="top" wrapText="1"/>
      <protection locked="0"/>
    </xf>
    <xf numFmtId="0" fontId="5" fillId="0" borderId="2" xfId="0" applyFont="1" applyBorder="1" applyAlignment="1" applyProtection="1">
      <alignment vertical="top" wrapText="1"/>
      <protection locked="0"/>
    </xf>
    <xf numFmtId="0" fontId="5" fillId="0" borderId="3" xfId="0" applyFont="1" applyBorder="1" applyAlignment="1" applyProtection="1">
      <alignment vertical="top" wrapText="1"/>
      <protection locked="0"/>
    </xf>
    <xf numFmtId="0" fontId="5" fillId="5" borderId="1" xfId="0" applyFont="1" applyFill="1" applyBorder="1" applyAlignment="1" applyProtection="1">
      <alignment vertical="top" wrapText="1"/>
      <protection locked="0"/>
    </xf>
    <xf numFmtId="0" fontId="5" fillId="5" borderId="2" xfId="0" applyFont="1" applyFill="1" applyBorder="1" applyAlignment="1" applyProtection="1">
      <alignment vertical="top" wrapText="1"/>
      <protection locked="0"/>
    </xf>
    <xf numFmtId="0" fontId="25" fillId="0" borderId="2" xfId="0" applyFont="1" applyBorder="1" applyAlignment="1" applyProtection="1">
      <alignment vertical="top" wrapText="1"/>
      <protection locked="0"/>
    </xf>
    <xf numFmtId="44" fontId="3" fillId="10" borderId="0" xfId="0" applyNumberFormat="1" applyFont="1" applyFill="1" applyAlignment="1" applyProtection="1">
      <alignment vertical="center"/>
      <protection hidden="1"/>
    </xf>
    <xf numFmtId="168" fontId="4" fillId="0" borderId="14" xfId="0" applyNumberFormat="1" applyFont="1" applyBorder="1" applyProtection="1">
      <protection locked="0"/>
    </xf>
    <xf numFmtId="0" fontId="28" fillId="0" borderId="0" xfId="0" applyFont="1" applyProtection="1">
      <protection locked="0" hidden="1"/>
    </xf>
    <xf numFmtId="0" fontId="3" fillId="5" borderId="6" xfId="0" applyFont="1" applyFill="1" applyBorder="1" applyAlignment="1" applyProtection="1">
      <alignment vertical="center" wrapText="1"/>
      <protection hidden="1"/>
    </xf>
    <xf numFmtId="44" fontId="26" fillId="5" borderId="2" xfId="2" applyFont="1" applyFill="1" applyBorder="1" applyAlignment="1" applyProtection="1">
      <alignment vertical="center" wrapText="1"/>
      <protection locked="0"/>
    </xf>
    <xf numFmtId="0" fontId="3" fillId="5" borderId="7" xfId="0" applyFont="1" applyFill="1" applyBorder="1" applyAlignment="1" applyProtection="1">
      <alignment vertical="center" wrapText="1"/>
      <protection hidden="1"/>
    </xf>
    <xf numFmtId="0" fontId="5" fillId="5" borderId="3" xfId="0" applyFont="1" applyFill="1" applyBorder="1" applyAlignment="1" applyProtection="1">
      <alignment vertical="top" wrapText="1"/>
      <protection locked="0"/>
    </xf>
    <xf numFmtId="44" fontId="26" fillId="5" borderId="3" xfId="2" applyFont="1" applyFill="1" applyBorder="1" applyAlignment="1" applyProtection="1">
      <alignment vertical="center" wrapText="1"/>
      <protection locked="0"/>
    </xf>
    <xf numFmtId="0" fontId="3" fillId="5" borderId="36" xfId="0" applyFont="1" applyFill="1" applyBorder="1" applyAlignment="1" applyProtection="1">
      <alignment vertical="center" wrapText="1"/>
      <protection hidden="1"/>
    </xf>
    <xf numFmtId="0" fontId="4" fillId="5" borderId="36" xfId="0" applyFont="1" applyFill="1" applyBorder="1" applyAlignment="1" applyProtection="1">
      <alignment horizontal="left" vertical="center" wrapText="1"/>
      <protection hidden="1"/>
    </xf>
    <xf numFmtId="44" fontId="26" fillId="5" borderId="1" xfId="2" applyFont="1" applyFill="1" applyBorder="1" applyAlignment="1" applyProtection="1">
      <alignment vertical="center" wrapText="1"/>
      <protection locked="0"/>
    </xf>
    <xf numFmtId="44" fontId="26" fillId="5" borderId="3" xfId="2" applyFont="1" applyFill="1" applyBorder="1" applyAlignment="1" applyProtection="1">
      <alignment horizontal="right" vertical="center" wrapText="1"/>
      <protection locked="0"/>
    </xf>
    <xf numFmtId="0" fontId="3" fillId="5" borderId="35" xfId="0" applyFont="1" applyFill="1" applyBorder="1" applyAlignment="1" applyProtection="1">
      <alignment vertical="center" wrapText="1"/>
      <protection hidden="1"/>
    </xf>
    <xf numFmtId="0" fontId="3" fillId="5" borderId="35" xfId="0" applyFont="1" applyFill="1" applyBorder="1" applyAlignment="1" applyProtection="1">
      <alignment wrapText="1"/>
      <protection hidden="1"/>
    </xf>
    <xf numFmtId="0" fontId="5" fillId="5" borderId="21" xfId="0" applyFont="1" applyFill="1" applyBorder="1" applyAlignment="1" applyProtection="1">
      <alignment vertical="top" wrapText="1"/>
      <protection locked="0"/>
    </xf>
    <xf numFmtId="44" fontId="26" fillId="5" borderId="21" xfId="2" applyFont="1" applyFill="1" applyBorder="1" applyAlignment="1" applyProtection="1">
      <alignment vertical="center" wrapText="1"/>
      <protection locked="0"/>
    </xf>
    <xf numFmtId="0" fontId="3" fillId="5" borderId="6" xfId="0" applyFont="1" applyFill="1" applyBorder="1" applyAlignment="1" applyProtection="1">
      <alignment wrapText="1"/>
      <protection hidden="1"/>
    </xf>
    <xf numFmtId="0" fontId="3" fillId="5" borderId="17" xfId="0" applyFont="1" applyFill="1" applyBorder="1" applyAlignment="1" applyProtection="1">
      <alignment wrapText="1"/>
      <protection hidden="1"/>
    </xf>
    <xf numFmtId="170" fontId="27" fillId="5" borderId="16" xfId="2" applyNumberFormat="1" applyFont="1" applyFill="1" applyBorder="1" applyAlignment="1" applyProtection="1">
      <alignment vertic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3" fillId="4" borderId="0" xfId="0" applyFont="1" applyFill="1" applyProtection="1">
      <protection hidden="1"/>
    </xf>
    <xf numFmtId="0" fontId="3" fillId="8" borderId="0" xfId="0" applyFont="1" applyFill="1" applyProtection="1">
      <protection hidden="1"/>
    </xf>
    <xf numFmtId="9" fontId="0" fillId="4" borderId="0" xfId="0" applyNumberFormat="1" applyFill="1"/>
    <xf numFmtId="0" fontId="28" fillId="5" borderId="15" xfId="0" applyFont="1" applyFill="1" applyBorder="1" applyAlignment="1" applyProtection="1">
      <alignment horizontal="right" vertical="center"/>
      <protection hidden="1"/>
    </xf>
    <xf numFmtId="9" fontId="0" fillId="4" borderId="0" xfId="1" applyFont="1" applyFill="1"/>
    <xf numFmtId="0" fontId="30" fillId="0" borderId="0" xfId="0" applyFont="1" applyProtection="1">
      <protection hidden="1"/>
    </xf>
    <xf numFmtId="0" fontId="26" fillId="0" borderId="0" xfId="0" applyFont="1" applyProtection="1">
      <protection hidden="1"/>
    </xf>
    <xf numFmtId="0" fontId="31" fillId="0" borderId="0" xfId="0" applyFont="1" applyProtection="1">
      <protection hidden="1"/>
    </xf>
    <xf numFmtId="0" fontId="30" fillId="0" borderId="0" xfId="0" applyFont="1" applyAlignment="1" applyProtection="1">
      <alignment horizontal="right" vertical="center"/>
      <protection hidden="1"/>
    </xf>
    <xf numFmtId="2" fontId="0" fillId="10" borderId="0" xfId="1" applyNumberFormat="1" applyFont="1" applyFill="1"/>
    <xf numFmtId="9" fontId="3" fillId="4" borderId="0" xfId="1" applyFont="1" applyFill="1"/>
    <xf numFmtId="0" fontId="3" fillId="4" borderId="0" xfId="0" applyFont="1" applyFill="1"/>
    <xf numFmtId="44" fontId="3" fillId="0" borderId="0" xfId="2" applyFont="1"/>
    <xf numFmtId="44" fontId="0" fillId="9" borderId="0" xfId="0" applyNumberFormat="1" applyFill="1"/>
    <xf numFmtId="0" fontId="0" fillId="0" borderId="8" xfId="0" applyBorder="1"/>
    <xf numFmtId="9" fontId="0" fillId="0" borderId="16" xfId="0" applyNumberFormat="1" applyBorder="1"/>
    <xf numFmtId="0" fontId="0" fillId="10" borderId="0" xfId="1" applyNumberFormat="1" applyFont="1" applyFill="1"/>
    <xf numFmtId="0" fontId="8" fillId="11" borderId="19" xfId="0" applyFont="1" applyFill="1" applyBorder="1" applyAlignment="1" applyProtection="1">
      <alignment vertical="center"/>
      <protection hidden="1"/>
    </xf>
    <xf numFmtId="0" fontId="26" fillId="11" borderId="19" xfId="0" applyFont="1" applyFill="1" applyBorder="1" applyAlignment="1" applyProtection="1">
      <alignment vertical="center"/>
      <protection hidden="1"/>
    </xf>
    <xf numFmtId="165" fontId="0" fillId="10" borderId="0" xfId="1" applyNumberFormat="1" applyFont="1" applyFill="1"/>
    <xf numFmtId="2" fontId="0" fillId="0" borderId="0" xfId="0" applyNumberFormat="1"/>
    <xf numFmtId="0" fontId="3" fillId="0" borderId="9" xfId="0" applyFont="1" applyBorder="1" applyAlignment="1" applyProtection="1">
      <alignment horizontal="left" vertical="center" wrapText="1"/>
      <protection locked="0"/>
    </xf>
    <xf numFmtId="0" fontId="3" fillId="0" borderId="2" xfId="0" applyFont="1" applyBorder="1" applyAlignment="1" applyProtection="1">
      <alignment horizontal="left" vertical="center" wrapText="1"/>
      <protection locked="0"/>
    </xf>
    <xf numFmtId="0" fontId="5" fillId="5" borderId="8" xfId="2" applyNumberFormat="1" applyFont="1" applyFill="1" applyBorder="1" applyAlignment="1" applyProtection="1">
      <alignment horizontal="left" vertical="center" wrapText="1"/>
      <protection hidden="1"/>
    </xf>
    <xf numFmtId="0" fontId="21" fillId="3" borderId="0" xfId="0" applyFont="1" applyFill="1" applyAlignment="1" applyProtection="1">
      <alignment vertical="center"/>
      <protection hidden="1"/>
    </xf>
    <xf numFmtId="0" fontId="33" fillId="3" borderId="0" xfId="0" applyFont="1" applyFill="1" applyAlignment="1" applyProtection="1">
      <alignment vertical="center"/>
      <protection hidden="1"/>
    </xf>
    <xf numFmtId="0" fontId="21" fillId="3" borderId="0" xfId="0" applyFont="1" applyFill="1" applyProtection="1">
      <protection hidden="1"/>
    </xf>
    <xf numFmtId="165" fontId="32" fillId="4" borderId="16" xfId="1" applyNumberFormat="1" applyFont="1" applyFill="1" applyBorder="1" applyAlignment="1" applyProtection="1">
      <alignment vertical="center"/>
      <protection hidden="1"/>
    </xf>
    <xf numFmtId="10" fontId="4" fillId="0" borderId="30" xfId="1" applyNumberFormat="1" applyFont="1" applyFill="1" applyBorder="1" applyAlignment="1" applyProtection="1">
      <alignment vertical="center" wrapText="1"/>
      <protection hidden="1"/>
    </xf>
    <xf numFmtId="10" fontId="4" fillId="0" borderId="18" xfId="1" applyNumberFormat="1" applyFont="1" applyFill="1" applyBorder="1" applyAlignment="1" applyProtection="1">
      <alignment vertical="center" wrapText="1"/>
      <protection hidden="1"/>
    </xf>
    <xf numFmtId="10" fontId="4" fillId="0" borderId="20" xfId="1" applyNumberFormat="1" applyFont="1" applyFill="1" applyBorder="1" applyAlignment="1" applyProtection="1">
      <alignment vertical="center" wrapText="1"/>
      <protection hidden="1"/>
    </xf>
    <xf numFmtId="165" fontId="32" fillId="11" borderId="16" xfId="1" applyNumberFormat="1" applyFont="1" applyFill="1" applyBorder="1" applyAlignment="1" applyProtection="1">
      <alignment vertical="center"/>
      <protection hidden="1"/>
    </xf>
    <xf numFmtId="10" fontId="4" fillId="0" borderId="18" xfId="1" quotePrefix="1" applyNumberFormat="1" applyFont="1" applyFill="1" applyBorder="1" applyAlignment="1" applyProtection="1">
      <alignment vertical="center" wrapText="1"/>
      <protection hidden="1"/>
    </xf>
    <xf numFmtId="9" fontId="32" fillId="11" borderId="16" xfId="1" applyFont="1" applyFill="1" applyBorder="1" applyAlignment="1" applyProtection="1">
      <alignment vertical="center"/>
      <protection hidden="1"/>
    </xf>
    <xf numFmtId="0" fontId="4" fillId="11" borderId="18" xfId="0" applyFont="1" applyFill="1" applyBorder="1" applyAlignment="1" applyProtection="1">
      <alignment vertical="center"/>
      <protection hidden="1"/>
    </xf>
    <xf numFmtId="10" fontId="26" fillId="0" borderId="18" xfId="1" applyNumberFormat="1" applyFont="1" applyFill="1" applyBorder="1" applyAlignment="1" applyProtection="1">
      <alignment wrapText="1"/>
      <protection hidden="1"/>
    </xf>
    <xf numFmtId="0" fontId="3" fillId="11" borderId="13" xfId="0" applyFont="1" applyFill="1" applyBorder="1" applyAlignment="1" applyProtection="1">
      <alignment horizontal="left" vertical="center"/>
      <protection hidden="1"/>
    </xf>
    <xf numFmtId="0" fontId="5" fillId="5" borderId="1" xfId="3" applyNumberFormat="1" applyFont="1" applyFill="1" applyBorder="1" applyAlignment="1" applyProtection="1">
      <alignment vertical="top" wrapText="1"/>
      <protection locked="0"/>
    </xf>
    <xf numFmtId="0" fontId="5" fillId="5" borderId="2" xfId="3" applyNumberFormat="1" applyFont="1" applyFill="1" applyBorder="1" applyAlignment="1" applyProtection="1">
      <alignment vertical="top" wrapText="1"/>
      <protection locked="0"/>
    </xf>
    <xf numFmtId="0" fontId="5" fillId="5" borderId="3" xfId="3" applyNumberFormat="1" applyFont="1" applyFill="1" applyBorder="1" applyAlignment="1" applyProtection="1">
      <alignment vertical="top" wrapText="1"/>
      <protection locked="0"/>
    </xf>
    <xf numFmtId="0" fontId="5" fillId="5" borderId="41" xfId="0" applyFont="1" applyFill="1" applyBorder="1" applyAlignment="1" applyProtection="1">
      <alignment vertical="top" wrapText="1"/>
      <protection locked="0"/>
    </xf>
    <xf numFmtId="0" fontId="0" fillId="0" borderId="42" xfId="0" applyBorder="1" applyProtection="1">
      <protection hidden="1"/>
    </xf>
    <xf numFmtId="0" fontId="3" fillId="0" borderId="42" xfId="0" applyFont="1" applyBorder="1" applyProtection="1">
      <protection hidden="1"/>
    </xf>
    <xf numFmtId="0" fontId="3" fillId="0" borderId="42" xfId="0" applyFont="1" applyBorder="1" applyAlignment="1" applyProtection="1">
      <alignment horizontal="center"/>
      <protection hidden="1"/>
    </xf>
    <xf numFmtId="0" fontId="4" fillId="0" borderId="42" xfId="0" applyFont="1" applyBorder="1" applyProtection="1">
      <protection hidden="1"/>
    </xf>
    <xf numFmtId="14" fontId="4" fillId="0" borderId="42" xfId="0" applyNumberFormat="1" applyFont="1" applyBorder="1" applyProtection="1">
      <protection hidden="1"/>
    </xf>
    <xf numFmtId="0" fontId="36" fillId="12" borderId="44" xfId="0" applyFont="1" applyFill="1" applyBorder="1" applyAlignment="1" applyProtection="1">
      <alignment horizontal="center" wrapText="1"/>
      <protection hidden="1"/>
    </xf>
    <xf numFmtId="0" fontId="36" fillId="12" borderId="44" xfId="0" applyFont="1" applyFill="1" applyBorder="1" applyAlignment="1" applyProtection="1">
      <alignment wrapText="1"/>
      <protection hidden="1"/>
    </xf>
    <xf numFmtId="0" fontId="36" fillId="12" borderId="45" xfId="0" applyFont="1" applyFill="1" applyBorder="1" applyAlignment="1" applyProtection="1">
      <alignment wrapText="1"/>
      <protection hidden="1"/>
    </xf>
    <xf numFmtId="9" fontId="26" fillId="0" borderId="1" xfId="1" applyFont="1" applyFill="1" applyBorder="1" applyAlignment="1" applyProtection="1">
      <alignment horizontal="right" vertical="center" wrapText="1"/>
      <protection locked="0"/>
    </xf>
    <xf numFmtId="9" fontId="26" fillId="0" borderId="2" xfId="1" applyFont="1" applyFill="1" applyBorder="1" applyAlignment="1" applyProtection="1">
      <alignment horizontal="right" vertical="center" wrapText="1"/>
      <protection locked="0"/>
    </xf>
    <xf numFmtId="9" fontId="26" fillId="5" borderId="2" xfId="1" applyFont="1" applyFill="1" applyBorder="1" applyAlignment="1" applyProtection="1">
      <alignment horizontal="right" vertical="center" wrapText="1"/>
      <protection locked="0"/>
    </xf>
    <xf numFmtId="9" fontId="26" fillId="5" borderId="3" xfId="1" applyFont="1" applyFill="1" applyBorder="1" applyAlignment="1" applyProtection="1">
      <alignment horizontal="right" vertical="center" wrapText="1"/>
      <protection locked="0"/>
    </xf>
    <xf numFmtId="9" fontId="26" fillId="0" borderId="0" xfId="0" applyNumberFormat="1" applyFont="1" applyAlignment="1" applyProtection="1">
      <alignment horizontal="right" vertical="center" wrapText="1"/>
      <protection locked="0"/>
    </xf>
    <xf numFmtId="9" fontId="26" fillId="0" borderId="1" xfId="1" applyFont="1" applyFill="1" applyBorder="1" applyAlignment="1" applyProtection="1">
      <alignment vertical="center" wrapText="1"/>
      <protection locked="0"/>
    </xf>
    <xf numFmtId="9" fontId="26" fillId="5" borderId="1" xfId="1" applyFont="1" applyFill="1" applyBorder="1" applyAlignment="1" applyProtection="1">
      <alignment horizontal="right" vertical="center" wrapText="1"/>
      <protection locked="0"/>
    </xf>
    <xf numFmtId="9" fontId="26" fillId="5" borderId="21" xfId="1" applyFont="1" applyFill="1" applyBorder="1" applyAlignment="1" applyProtection="1">
      <alignment horizontal="right" vertical="center" wrapText="1"/>
      <protection locked="0"/>
    </xf>
    <xf numFmtId="0" fontId="3" fillId="0" borderId="0" xfId="0" applyFont="1" applyAlignment="1" applyProtection="1">
      <alignment horizontal="left"/>
      <protection hidden="1"/>
    </xf>
    <xf numFmtId="0" fontId="13" fillId="0" borderId="46" xfId="0" applyFont="1" applyBorder="1" applyAlignment="1" applyProtection="1">
      <alignment horizontal="left" vertical="center" wrapText="1"/>
      <protection hidden="1"/>
    </xf>
    <xf numFmtId="0" fontId="3" fillId="0" borderId="0" xfId="0" applyFont="1" applyAlignment="1" applyProtection="1">
      <alignment horizontal="left" vertical="center"/>
      <protection hidden="1"/>
    </xf>
    <xf numFmtId="9" fontId="27" fillId="5" borderId="22" xfId="1" applyFont="1" applyFill="1" applyBorder="1" applyAlignment="1" applyProtection="1">
      <alignment horizontal="left"/>
      <protection hidden="1"/>
    </xf>
    <xf numFmtId="9" fontId="27" fillId="5" borderId="25" xfId="1" applyFont="1" applyFill="1" applyBorder="1" applyAlignment="1" applyProtection="1">
      <alignment horizontal="left"/>
      <protection hidden="1"/>
    </xf>
    <xf numFmtId="9" fontId="26" fillId="5" borderId="26" xfId="1" applyFont="1" applyFill="1" applyBorder="1" applyAlignment="1" applyProtection="1">
      <alignment horizontal="left" vertical="center" wrapText="1"/>
      <protection hidden="1"/>
    </xf>
    <xf numFmtId="9" fontId="26" fillId="5" borderId="31" xfId="1" applyFont="1" applyFill="1" applyBorder="1" applyAlignment="1" applyProtection="1">
      <alignment horizontal="left" vertical="center" wrapText="1"/>
      <protection hidden="1"/>
    </xf>
    <xf numFmtId="0" fontId="4" fillId="5" borderId="22" xfId="0" applyFont="1" applyFill="1" applyBorder="1" applyAlignment="1" applyProtection="1">
      <alignment horizontal="center"/>
      <protection hidden="1"/>
    </xf>
    <xf numFmtId="0" fontId="4" fillId="5" borderId="0" xfId="0" applyFont="1" applyFill="1" applyAlignment="1" applyProtection="1">
      <alignment horizontal="center"/>
      <protection hidden="1"/>
    </xf>
    <xf numFmtId="0" fontId="36" fillId="12" borderId="40" xfId="0" applyFont="1" applyFill="1" applyBorder="1" applyAlignment="1" applyProtection="1">
      <alignment horizontal="left" wrapText="1"/>
      <protection hidden="1"/>
    </xf>
    <xf numFmtId="0" fontId="36" fillId="12" borderId="44" xfId="0" applyFont="1" applyFill="1" applyBorder="1" applyAlignment="1" applyProtection="1">
      <alignment horizontal="left" wrapText="1"/>
      <protection hidden="1"/>
    </xf>
    <xf numFmtId="0" fontId="3" fillId="5" borderId="8" xfId="0" applyFont="1" applyFill="1" applyBorder="1" applyAlignment="1" applyProtection="1">
      <alignment horizontal="center" vertical="center" wrapText="1"/>
      <protection hidden="1"/>
    </xf>
    <xf numFmtId="0" fontId="3" fillId="5" borderId="11" xfId="0" applyFont="1" applyFill="1" applyBorder="1" applyAlignment="1" applyProtection="1">
      <alignment horizontal="center" vertical="center" wrapText="1"/>
      <protection hidden="1"/>
    </xf>
    <xf numFmtId="0" fontId="3" fillId="5" borderId="16" xfId="0" applyFont="1" applyFill="1" applyBorder="1" applyAlignment="1" applyProtection="1">
      <alignment horizontal="center" vertical="center" wrapText="1"/>
      <protection hidden="1"/>
    </xf>
    <xf numFmtId="0" fontId="3" fillId="5" borderId="9" xfId="0" applyFont="1" applyFill="1" applyBorder="1" applyAlignment="1" applyProtection="1">
      <alignment horizontal="left" vertical="center" wrapText="1"/>
      <protection hidden="1"/>
    </xf>
    <xf numFmtId="0" fontId="3" fillId="5" borderId="18" xfId="0" applyFont="1" applyFill="1" applyBorder="1" applyAlignment="1" applyProtection="1">
      <alignment horizontal="left" vertical="center" wrapText="1"/>
      <protection hidden="1"/>
    </xf>
    <xf numFmtId="0" fontId="3" fillId="5" borderId="2" xfId="0" applyFont="1" applyFill="1" applyBorder="1" applyAlignment="1" applyProtection="1">
      <alignment horizontal="left" vertical="center" wrapText="1"/>
      <protection hidden="1"/>
    </xf>
    <xf numFmtId="0" fontId="3" fillId="5" borderId="6" xfId="0" applyFont="1" applyFill="1" applyBorder="1" applyAlignment="1" applyProtection="1">
      <alignment horizontal="left" vertical="center" wrapText="1"/>
      <protection hidden="1"/>
    </xf>
    <xf numFmtId="0" fontId="3" fillId="5" borderId="20" xfId="0" applyFont="1" applyFill="1" applyBorder="1" applyAlignment="1" applyProtection="1">
      <alignment horizontal="left" vertical="center" wrapText="1"/>
      <protection hidden="1"/>
    </xf>
    <xf numFmtId="0" fontId="3" fillId="5" borderId="3" xfId="0" applyFont="1" applyFill="1" applyBorder="1" applyAlignment="1" applyProtection="1">
      <alignment horizontal="left" vertical="center" wrapText="1"/>
      <protection hidden="1"/>
    </xf>
    <xf numFmtId="0" fontId="3" fillId="0" borderId="18" xfId="0" applyFont="1" applyBorder="1" applyAlignment="1" applyProtection="1">
      <alignment horizontal="left" vertical="center" wrapText="1"/>
      <protection hidden="1"/>
    </xf>
    <xf numFmtId="0" fontId="3" fillId="0" borderId="2" xfId="0" applyFont="1" applyBorder="1" applyAlignment="1" applyProtection="1">
      <alignment horizontal="left" vertical="center" wrapText="1"/>
      <protection hidden="1"/>
    </xf>
    <xf numFmtId="0" fontId="3" fillId="0" borderId="6" xfId="0" applyFont="1" applyBorder="1" applyAlignment="1" applyProtection="1">
      <alignment horizontal="left" vertical="center" wrapText="1"/>
      <protection hidden="1"/>
    </xf>
    <xf numFmtId="0" fontId="3" fillId="5" borderId="7" xfId="0" applyFont="1" applyFill="1" applyBorder="1" applyAlignment="1" applyProtection="1">
      <alignment horizontal="left" vertical="center" wrapText="1"/>
      <protection hidden="1"/>
    </xf>
    <xf numFmtId="0" fontId="4" fillId="5" borderId="24" xfId="0" applyFont="1" applyFill="1" applyBorder="1" applyAlignment="1" applyProtection="1">
      <alignment horizontal="center"/>
      <protection hidden="1"/>
    </xf>
    <xf numFmtId="0" fontId="4" fillId="5" borderId="10" xfId="0" applyFont="1" applyFill="1" applyBorder="1" applyAlignment="1" applyProtection="1">
      <alignment horizontal="center"/>
      <protection hidden="1"/>
    </xf>
    <xf numFmtId="0" fontId="35" fillId="11" borderId="11" xfId="0" applyFont="1" applyFill="1" applyBorder="1" applyAlignment="1" applyProtection="1">
      <alignment horizontal="left" vertical="center"/>
      <protection hidden="1"/>
    </xf>
    <xf numFmtId="0" fontId="3" fillId="0" borderId="30" xfId="0" applyFont="1" applyBorder="1" applyAlignment="1" applyProtection="1">
      <alignment horizontal="left" vertical="center" wrapText="1"/>
      <protection hidden="1"/>
    </xf>
    <xf numFmtId="0" fontId="3" fillId="0" borderId="1" xfId="0" applyFont="1" applyBorder="1" applyAlignment="1" applyProtection="1">
      <alignment horizontal="left" vertical="center" wrapText="1"/>
      <protection hidden="1"/>
    </xf>
    <xf numFmtId="0" fontId="4" fillId="0" borderId="0" xfId="0" applyFont="1" applyAlignment="1" applyProtection="1">
      <alignment horizontal="right"/>
      <protection hidden="1"/>
    </xf>
    <xf numFmtId="0" fontId="3" fillId="5" borderId="0" xfId="0" applyFont="1" applyFill="1" applyAlignment="1" applyProtection="1">
      <alignment horizontal="left" vertical="center" wrapText="1"/>
      <protection hidden="1"/>
    </xf>
    <xf numFmtId="0" fontId="3" fillId="5" borderId="38" xfId="0" applyFont="1" applyFill="1" applyBorder="1" applyAlignment="1" applyProtection="1">
      <alignment horizontal="left" vertical="center" wrapText="1"/>
      <protection hidden="1"/>
    </xf>
    <xf numFmtId="0" fontId="3" fillId="5" borderId="28" xfId="0" applyFont="1" applyFill="1" applyBorder="1" applyAlignment="1" applyProtection="1">
      <alignment horizontal="left" vertical="center" wrapText="1"/>
      <protection hidden="1"/>
    </xf>
    <xf numFmtId="0" fontId="3" fillId="5" borderId="29" xfId="0" applyFont="1" applyFill="1" applyBorder="1" applyAlignment="1" applyProtection="1">
      <alignment horizontal="left" vertical="center" wrapText="1"/>
      <protection hidden="1"/>
    </xf>
    <xf numFmtId="0" fontId="3" fillId="5" borderId="5" xfId="0" applyFont="1" applyFill="1" applyBorder="1" applyAlignment="1" applyProtection="1">
      <alignment horizontal="center" vertical="center"/>
      <protection hidden="1"/>
    </xf>
    <xf numFmtId="0" fontId="3" fillId="5" borderId="15" xfId="0" applyFont="1" applyFill="1" applyBorder="1" applyAlignment="1" applyProtection="1">
      <alignment horizontal="center" vertical="center"/>
      <protection hidden="1"/>
    </xf>
    <xf numFmtId="0" fontId="5" fillId="0" borderId="42" xfId="0" applyFont="1" applyBorder="1" applyAlignment="1" applyProtection="1">
      <alignment horizontal="right" vertical="top" wrapText="1"/>
      <protection locked="0" hidden="1"/>
    </xf>
    <xf numFmtId="0" fontId="3" fillId="5" borderId="12" xfId="0" applyFont="1" applyFill="1" applyBorder="1" applyAlignment="1" applyProtection="1">
      <alignment horizontal="left" vertical="center" wrapText="1"/>
      <protection hidden="1"/>
    </xf>
    <xf numFmtId="0" fontId="3" fillId="5" borderId="6" xfId="0" applyFont="1" applyFill="1" applyBorder="1" applyAlignment="1" applyProtection="1">
      <alignment horizontal="right" vertical="center"/>
      <protection hidden="1"/>
    </xf>
    <xf numFmtId="0" fontId="3" fillId="5" borderId="9" xfId="0" applyFont="1" applyFill="1" applyBorder="1" applyAlignment="1" applyProtection="1">
      <alignment horizontal="right" vertical="center"/>
      <protection hidden="1"/>
    </xf>
    <xf numFmtId="0" fontId="4" fillId="2" borderId="0" xfId="0" applyFont="1" applyFill="1" applyAlignment="1" applyProtection="1">
      <alignment horizontal="right" vertical="center"/>
      <protection hidden="1"/>
    </xf>
    <xf numFmtId="0" fontId="4" fillId="2" borderId="23" xfId="0" applyFont="1" applyFill="1" applyBorder="1" applyAlignment="1" applyProtection="1">
      <alignment horizontal="right" vertical="center"/>
      <protection hidden="1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0" fontId="3" fillId="0" borderId="12" xfId="0" applyFont="1" applyBorder="1" applyAlignment="1" applyProtection="1">
      <alignment horizontal="center"/>
      <protection hidden="1"/>
    </xf>
    <xf numFmtId="0" fontId="3" fillId="5" borderId="6" xfId="0" applyFont="1" applyFill="1" applyBorder="1" applyAlignment="1" applyProtection="1">
      <alignment horizontal="right" vertical="center" wrapText="1"/>
      <protection hidden="1"/>
    </xf>
    <xf numFmtId="0" fontId="3" fillId="5" borderId="9" xfId="0" applyFont="1" applyFill="1" applyBorder="1" applyAlignment="1" applyProtection="1">
      <alignment horizontal="right" vertical="center" wrapText="1"/>
      <protection hidden="1"/>
    </xf>
    <xf numFmtId="0" fontId="3" fillId="0" borderId="9" xfId="0" applyFont="1" applyBorder="1" applyAlignment="1" applyProtection="1">
      <alignment horizontal="left" vertical="center"/>
      <protection locked="0"/>
    </xf>
    <xf numFmtId="0" fontId="3" fillId="0" borderId="18" xfId="0" applyFont="1" applyBorder="1" applyAlignment="1" applyProtection="1">
      <alignment horizontal="left" vertical="center"/>
      <protection locked="0"/>
    </xf>
    <xf numFmtId="0" fontId="36" fillId="11" borderId="11" xfId="0" applyFont="1" applyFill="1" applyBorder="1" applyAlignment="1" applyProtection="1">
      <alignment horizontal="left" vertical="center" wrapText="1"/>
      <protection hidden="1"/>
    </xf>
    <xf numFmtId="0" fontId="36" fillId="11" borderId="16" xfId="0" applyFont="1" applyFill="1" applyBorder="1" applyAlignment="1" applyProtection="1">
      <alignment horizontal="left" vertical="center" wrapText="1"/>
      <protection hidden="1"/>
    </xf>
    <xf numFmtId="0" fontId="0" fillId="0" borderId="0" xfId="0" applyAlignment="1" applyProtection="1">
      <alignment horizontal="right" vertical="center"/>
      <protection hidden="1"/>
    </xf>
    <xf numFmtId="0" fontId="3" fillId="0" borderId="29" xfId="0" applyFont="1" applyBorder="1" applyAlignment="1" applyProtection="1">
      <alignment horizontal="left" vertical="center" wrapText="1"/>
      <protection hidden="1"/>
    </xf>
    <xf numFmtId="0" fontId="3" fillId="0" borderId="37" xfId="0" applyFont="1" applyBorder="1" applyAlignment="1" applyProtection="1">
      <alignment horizontal="left" vertical="center" wrapText="1"/>
      <protection hidden="1"/>
    </xf>
    <xf numFmtId="0" fontId="3" fillId="0" borderId="9" xfId="0" applyFont="1" applyBorder="1" applyAlignment="1" applyProtection="1">
      <alignment horizontal="left" vertical="center" wrapText="1"/>
      <protection hidden="1"/>
    </xf>
    <xf numFmtId="0" fontId="3" fillId="0" borderId="32" xfId="0" applyFont="1" applyBorder="1" applyAlignment="1" applyProtection="1">
      <alignment horizontal="center" vertical="center" wrapText="1"/>
      <protection hidden="1"/>
    </xf>
    <xf numFmtId="0" fontId="3" fillId="0" borderId="27" xfId="0" applyFont="1" applyBorder="1" applyAlignment="1" applyProtection="1">
      <alignment horizontal="center" vertical="center" wrapText="1"/>
      <protection hidden="1"/>
    </xf>
    <xf numFmtId="0" fontId="4" fillId="0" borderId="18" xfId="0" applyFont="1" applyBorder="1" applyAlignment="1" applyProtection="1">
      <alignment horizontal="center" vertical="center" wrapText="1"/>
      <protection hidden="1"/>
    </xf>
    <xf numFmtId="0" fontId="4" fillId="0" borderId="20" xfId="0" applyFont="1" applyBorder="1" applyAlignment="1" applyProtection="1">
      <alignment horizontal="center" vertical="center" wrapText="1"/>
      <protection hidden="1"/>
    </xf>
    <xf numFmtId="0" fontId="21" fillId="3" borderId="10" xfId="0" applyFont="1" applyFill="1" applyBorder="1" applyAlignment="1" applyProtection="1">
      <alignment vertical="center"/>
      <protection hidden="1"/>
    </xf>
    <xf numFmtId="0" fontId="20" fillId="3" borderId="42" xfId="0" applyFont="1" applyFill="1" applyBorder="1" applyAlignment="1" applyProtection="1">
      <alignment horizontal="center"/>
      <protection hidden="1"/>
    </xf>
    <xf numFmtId="0" fontId="3" fillId="5" borderId="15" xfId="0" applyFont="1" applyFill="1" applyBorder="1" applyAlignment="1" applyProtection="1">
      <alignment horizontal="left" vertical="center" wrapText="1"/>
      <protection hidden="1"/>
    </xf>
    <xf numFmtId="0" fontId="34" fillId="5" borderId="43" xfId="0" applyFont="1" applyFill="1" applyBorder="1" applyAlignment="1" applyProtection="1">
      <alignment horizontal="left"/>
      <protection hidden="1"/>
    </xf>
    <xf numFmtId="0" fontId="37" fillId="0" borderId="0" xfId="0" applyFont="1" applyAlignment="1" applyProtection="1">
      <alignment horizontal="left" vertical="top" wrapText="1"/>
      <protection hidden="1"/>
    </xf>
    <xf numFmtId="0" fontId="3" fillId="0" borderId="39" xfId="0" applyFont="1" applyBorder="1" applyAlignment="1" applyProtection="1">
      <alignment horizontal="left" vertical="center" wrapText="1"/>
      <protection hidden="1"/>
    </xf>
    <xf numFmtId="0" fontId="3" fillId="0" borderId="40" xfId="0" applyFont="1" applyBorder="1" applyAlignment="1" applyProtection="1">
      <alignment horizontal="left" vertical="center" wrapText="1"/>
      <protection hidden="1"/>
    </xf>
    <xf numFmtId="0" fontId="3" fillId="0" borderId="5" xfId="0" applyFont="1" applyBorder="1" applyAlignment="1" applyProtection="1">
      <alignment horizontal="left" vertical="center" wrapText="1"/>
      <protection hidden="1"/>
    </xf>
    <xf numFmtId="0" fontId="3" fillId="0" borderId="20" xfId="0" applyFont="1" applyBorder="1" applyAlignment="1" applyProtection="1">
      <alignment horizontal="left" vertical="center" wrapText="1"/>
      <protection hidden="1"/>
    </xf>
    <xf numFmtId="0" fontId="3" fillId="0" borderId="3" xfId="0" applyFont="1" applyBorder="1" applyAlignment="1" applyProtection="1">
      <alignment horizontal="left" vertical="center" wrapText="1"/>
      <protection hidden="1"/>
    </xf>
    <xf numFmtId="0" fontId="3" fillId="0" borderId="7" xfId="0" applyFont="1" applyBorder="1" applyAlignment="1" applyProtection="1">
      <alignment horizontal="left" vertical="center" wrapText="1"/>
      <protection hidden="1"/>
    </xf>
    <xf numFmtId="0" fontId="9" fillId="0" borderId="0" xfId="0" applyFont="1" applyAlignment="1" applyProtection="1">
      <alignment horizontal="left"/>
      <protection hidden="1"/>
    </xf>
    <xf numFmtId="0" fontId="3" fillId="5" borderId="21" xfId="0" applyFont="1" applyFill="1" applyBorder="1" applyAlignment="1" applyProtection="1">
      <alignment horizontal="left" vertical="center" wrapText="1"/>
      <protection hidden="1"/>
    </xf>
    <xf numFmtId="0" fontId="3" fillId="0" borderId="26" xfId="0" applyFont="1" applyBorder="1" applyAlignment="1" applyProtection="1">
      <alignment horizontal="center" vertical="center" wrapText="1"/>
      <protection hidden="1"/>
    </xf>
    <xf numFmtId="0" fontId="3" fillId="0" borderId="4" xfId="0" applyFont="1" applyBorder="1" applyAlignment="1" applyProtection="1">
      <alignment horizontal="center" vertical="center" wrapText="1"/>
      <protection hidden="1"/>
    </xf>
    <xf numFmtId="0" fontId="3" fillId="0" borderId="31" xfId="0" applyFont="1" applyBorder="1" applyAlignment="1" applyProtection="1">
      <alignment horizontal="center" vertical="center" wrapText="1"/>
      <protection hidden="1"/>
    </xf>
    <xf numFmtId="0" fontId="3" fillId="0" borderId="24" xfId="0" applyFont="1" applyBorder="1" applyAlignment="1" applyProtection="1">
      <alignment horizontal="center" vertical="center" wrapText="1"/>
      <protection hidden="1"/>
    </xf>
    <xf numFmtId="0" fontId="3" fillId="0" borderId="10" xfId="0" applyFont="1" applyBorder="1" applyAlignment="1" applyProtection="1">
      <alignment horizontal="center" vertical="center" wrapText="1"/>
      <protection hidden="1"/>
    </xf>
    <xf numFmtId="0" fontId="3" fillId="0" borderId="25" xfId="0" applyFont="1" applyBorder="1" applyAlignment="1" applyProtection="1">
      <alignment horizontal="center" vertical="center" wrapText="1"/>
      <protection hidden="1"/>
    </xf>
    <xf numFmtId="0" fontId="3" fillId="0" borderId="15" xfId="0" applyFont="1" applyBorder="1" applyAlignment="1" applyProtection="1">
      <alignment horizontal="left" vertical="center" wrapText="1"/>
      <protection hidden="1"/>
    </xf>
    <xf numFmtId="0" fontId="18" fillId="3" borderId="0" xfId="4" applyFont="1" applyFill="1" applyAlignment="1">
      <alignment vertical="center" wrapText="1"/>
    </xf>
    <xf numFmtId="0" fontId="0" fillId="0" borderId="0" xfId="0" applyAlignment="1">
      <alignment vertical="center"/>
    </xf>
    <xf numFmtId="0" fontId="0" fillId="0" borderId="38" xfId="0" applyBorder="1" applyAlignment="1">
      <alignment vertical="center"/>
    </xf>
  </cellXfs>
  <cellStyles count="5">
    <cellStyle name="Dziesiętny" xfId="3" builtinId="3"/>
    <cellStyle name="Normalny" xfId="0" builtinId="0"/>
    <cellStyle name="Normalny 2" xfId="4" xr:uid="{00000000-0005-0000-0000-000002000000}"/>
    <cellStyle name="Procentowy" xfId="1" builtinId="5"/>
    <cellStyle name="Walutowy" xfId="2" builtinId="4"/>
  </cellStyles>
  <dxfs count="4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FFFF99"/>
        </patternFill>
      </fill>
    </dxf>
    <dxf>
      <font>
        <strike val="0"/>
      </font>
      <numFmt numFmtId="0" formatCode="General"/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3300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3300"/>
        </patternFill>
      </fill>
    </dxf>
    <dxf>
      <fill>
        <patternFill>
          <bgColor rgb="FFFF3300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 val="0"/>
      </font>
      <fill>
        <patternFill>
          <bgColor theme="0" tint="-4.9989318521683403E-2"/>
        </patternFill>
      </fill>
    </dxf>
    <dxf>
      <font>
        <strike val="0"/>
      </font>
      <fill>
        <patternFill>
          <bgColor theme="0" tint="-4.9989318521683403E-2"/>
        </patternFill>
      </fill>
    </dxf>
    <dxf>
      <font>
        <strike val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C00000"/>
        </patternFill>
      </fill>
    </dxf>
  </dxfs>
  <tableStyles count="0" defaultTableStyle="TableStyleMedium2" defaultPivotStyle="PivotStyleLight16"/>
  <colors>
    <mruColors>
      <color rgb="FFFF3300"/>
      <color rgb="FFF2F2F2"/>
      <color rgb="FFD10710"/>
      <color rgb="FFFFFF99"/>
      <color rgb="FFFFFFCC"/>
      <color rgb="FFCCCCFF"/>
      <color rgb="FFFF99CC"/>
      <color rgb="FFFFCCCC"/>
      <color rgb="FFFFCC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fmlaLink="Wyliczenia!$C$59" lockText="1" noThreeD="1"/>
</file>

<file path=xl/ctrlProps/ctrlProp2.xml><?xml version="1.0" encoding="utf-8"?>
<formControlPr xmlns="http://schemas.microsoft.com/office/spreadsheetml/2009/9/main" objectType="CheckBox" fmlaLink="Wyliczenia!$C$67" lockText="1" noThreeD="1"/>
</file>

<file path=xl/ctrlProps/ctrlProp3.xml><?xml version="1.0" encoding="utf-8"?>
<formControlPr xmlns="http://schemas.microsoft.com/office/spreadsheetml/2009/9/main" objectType="CheckBox" fmlaLink="Wyliczenia!$C$42" lockText="1" noThreeD="1"/>
</file>

<file path=xl/ctrlProps/ctrlProp4.xml><?xml version="1.0" encoding="utf-8"?>
<formControlPr xmlns="http://schemas.microsoft.com/office/spreadsheetml/2009/9/main" objectType="CheckBox" fmlaLink="Wyliczenia!$C$73" lockText="1" noThreeD="1"/>
</file>

<file path=xl/ctrlProps/ctrlProp5.xml><?xml version="1.0" encoding="utf-8"?>
<formControlPr xmlns="http://schemas.microsoft.com/office/spreadsheetml/2009/9/main" objectType="CheckBox" fmlaLink="Wyliczenia!$C$51" lockText="1" noThreeD="1"/>
</file>

<file path=xl/ctrlProps/ctrlProp6.xml><?xml version="1.0" encoding="utf-8"?>
<formControlPr xmlns="http://schemas.microsoft.com/office/spreadsheetml/2009/9/main" objectType="CheckBox" fmlaLink="Wyliczenia!$C$24" lockText="1" noThreeD="1"/>
</file>

<file path=xl/ctrlProps/ctrlProp7.xml><?xml version="1.0" encoding="utf-8"?>
<formControlPr xmlns="http://schemas.microsoft.com/office/spreadsheetml/2009/9/main" objectType="CheckBox" fmlaLink="Wyliczenia!$C$30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</xdr:colOff>
      <xdr:row>0</xdr:row>
      <xdr:rowOff>0</xdr:rowOff>
    </xdr:from>
    <xdr:to>
      <xdr:col>7</xdr:col>
      <xdr:colOff>160020</xdr:colOff>
      <xdr:row>0</xdr:row>
      <xdr:rowOff>0</xdr:rowOff>
    </xdr:to>
    <xdr:pic>
      <xdr:nvPicPr>
        <xdr:cNvPr id="1095" name="Picture 2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62636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000000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54428</xdr:colOff>
      <xdr:row>0</xdr:row>
      <xdr:rowOff>206829</xdr:rowOff>
    </xdr:from>
    <xdr:to>
      <xdr:col>4</xdr:col>
      <xdr:colOff>633548</xdr:colOff>
      <xdr:row>0</xdr:row>
      <xdr:rowOff>465909</xdr:rowOff>
    </xdr:to>
    <xdr:pic>
      <xdr:nvPicPr>
        <xdr:cNvPr id="1096" name="Obraz 4" descr="Pekao_logo_310517_FINAL_small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137" y="206829"/>
          <a:ext cx="1687484" cy="259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108207</xdr:rowOff>
    </xdr:from>
    <xdr:to>
      <xdr:col>36</xdr:col>
      <xdr:colOff>185024</xdr:colOff>
      <xdr:row>88</xdr:row>
      <xdr:rowOff>77066</xdr:rowOff>
    </xdr:to>
    <xdr:grpSp>
      <xdr:nvGrpSpPr>
        <xdr:cNvPr id="2" name="Grupa 1">
          <a:extLst>
            <a:ext uri="{FF2B5EF4-FFF2-40B4-BE49-F238E27FC236}">
              <a16:creationId xmlns:a16="http://schemas.microsoft.com/office/drawing/2014/main" id="{210F7D4C-9E4F-A7DD-109F-A45905A601ED}"/>
            </a:ext>
          </a:extLst>
        </xdr:cNvPr>
        <xdr:cNvGrpSpPr/>
      </xdr:nvGrpSpPr>
      <xdr:grpSpPr>
        <a:xfrm>
          <a:off x="0" y="2950824"/>
          <a:ext cx="21125141" cy="15045148"/>
          <a:chOff x="0" y="2950824"/>
          <a:chExt cx="21125141" cy="15045148"/>
        </a:xfrm>
      </xdr:grpSpPr>
      <xdr:pic>
        <xdr:nvPicPr>
          <xdr:cNvPr id="22" name="Obraz 21">
            <a:extLst>
              <a:ext uri="{FF2B5EF4-FFF2-40B4-BE49-F238E27FC236}">
                <a16:creationId xmlns:a16="http://schemas.microsoft.com/office/drawing/2014/main" id="{5EE6E633-40D0-4B1A-048E-0006557DEE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7235" y="11640247"/>
            <a:ext cx="11985529" cy="6355725"/>
          </a:xfrm>
          <a:prstGeom prst="rect">
            <a:avLst/>
          </a:prstGeom>
        </xdr:spPr>
      </xdr:pic>
      <xdr:pic>
        <xdr:nvPicPr>
          <xdr:cNvPr id="21" name="Obraz 20">
            <a:extLst>
              <a:ext uri="{FF2B5EF4-FFF2-40B4-BE49-F238E27FC236}">
                <a16:creationId xmlns:a16="http://schemas.microsoft.com/office/drawing/2014/main" id="{69B95E1E-65FB-0FA5-E80A-B63365E8FA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950824"/>
            <a:ext cx="12100076" cy="8438067"/>
          </a:xfrm>
          <a:prstGeom prst="rect">
            <a:avLst/>
          </a:prstGeom>
        </xdr:spPr>
      </xdr:pic>
      <xdr:grpSp>
        <xdr:nvGrpSpPr>
          <xdr:cNvPr id="26" name="Grupa 25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GrpSpPr/>
        </xdr:nvGrpSpPr>
        <xdr:grpSpPr>
          <a:xfrm>
            <a:off x="1164110" y="3895668"/>
            <a:ext cx="19961031" cy="7393669"/>
            <a:chOff x="597929" y="3090584"/>
            <a:chExt cx="20464706" cy="7134028"/>
          </a:xfrm>
        </xdr:grpSpPr>
        <xdr:pic>
          <xdr:nvPicPr>
            <xdr:cNvPr id="3" name="Obraz 5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email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3244515" y="3458646"/>
              <a:ext cx="7818120" cy="353144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4" name="Objaśnienie owalne 3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7098513" y="3171671"/>
              <a:ext cx="1600200" cy="1041400"/>
            </a:xfrm>
            <a:prstGeom prst="wedgeEllipseCallout">
              <a:avLst>
                <a:gd name="adj1" fmla="val 367157"/>
                <a:gd name="adj2" fmla="val 7760"/>
              </a:avLst>
            </a:prstGeom>
            <a:solidFill>
              <a:srgbClr val="FFFF0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l-PL" sz="1050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6" name="Objaśnienie owalne 5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SpPr/>
          </xdr:nvSpPr>
          <xdr:spPr>
            <a:xfrm>
              <a:off x="597929" y="6316102"/>
              <a:ext cx="3156373" cy="1524848"/>
            </a:xfrm>
            <a:prstGeom prst="wedgeEllipseCallout">
              <a:avLst>
                <a:gd name="adj1" fmla="val 86249"/>
                <a:gd name="adj2" fmla="val 53246"/>
              </a:avLst>
            </a:prstGeom>
            <a:solidFill>
              <a:srgbClr val="FFFF0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pl-PL" sz="9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PRZECI</a:t>
              </a:r>
              <a:r>
                <a:rPr lang="pl-PL" sz="900" b="1" baseline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ĘTNE KOSZTY WYKONANIA: </a:t>
              </a:r>
              <a:r>
                <a:rPr lang="pl-PL" sz="900" b="0" baseline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tzn. przeciętne rynkowe koszty wykonania robót.</a:t>
              </a:r>
            </a:p>
            <a:p>
              <a:pPr algn="ctr"/>
              <a:r>
                <a:rPr lang="pl-PL" sz="900" baseline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Możesz wskazać inne kwoty.</a:t>
              </a:r>
            </a:p>
            <a:p>
              <a:pPr algn="ctr"/>
              <a:r>
                <a:rPr lang="pl-PL" sz="900" baseline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Wszystkie wartości będą przez nas weryfikowane</a:t>
              </a:r>
              <a:endParaRPr lang="pl-PL" sz="9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7" name="Objaśnienie owalne 6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11293732" y="8940371"/>
              <a:ext cx="2815243" cy="1284241"/>
            </a:xfrm>
            <a:prstGeom prst="wedgeEllipseCallout">
              <a:avLst>
                <a:gd name="adj1" fmla="val -127817"/>
                <a:gd name="adj2" fmla="val -285659"/>
              </a:avLst>
            </a:prstGeom>
            <a:solidFill>
              <a:srgbClr val="FFFF0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endParaRPr lang="pl-PL" sz="9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ctr"/>
              <a:r>
                <a:rPr lang="pl-PL" sz="900" b="1" baseline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AKTUALNE ZAAWANSOWANIE:</a:t>
              </a:r>
              <a:r>
                <a:rPr lang="pl-PL" sz="900" baseline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wpisz koszty poniesionych prac na budowie, kwoty z faktur. </a:t>
              </a:r>
              <a:endParaRPr lang="pl-PL" sz="9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9" name="Objaśnienie owalne 8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SpPr/>
          </xdr:nvSpPr>
          <xdr:spPr>
            <a:xfrm>
              <a:off x="5961986" y="3090584"/>
              <a:ext cx="3253740" cy="1617133"/>
            </a:xfrm>
            <a:prstGeom prst="wedgeEllipseCallout">
              <a:avLst>
                <a:gd name="adj1" fmla="val -134048"/>
                <a:gd name="adj2" fmla="val 63976"/>
              </a:avLst>
            </a:prstGeom>
            <a:solidFill>
              <a:srgbClr val="FFFF0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pl-PL" sz="9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STANDARD</a:t>
              </a:r>
              <a:r>
                <a:rPr lang="pl-PL" sz="900" b="1" baseline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WYKOŃCZENIA: </a:t>
              </a:r>
            </a:p>
            <a:p>
              <a:pPr algn="ctr"/>
              <a:r>
                <a:rPr lang="pl-PL" sz="9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jeśli</a:t>
              </a:r>
              <a:r>
                <a:rPr lang="pl-PL" sz="900" baseline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wybierzesz </a:t>
              </a:r>
              <a:r>
                <a:rPr lang="pl-PL" sz="9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standard wykończenia "deweloperski</a:t>
              </a:r>
              <a:r>
                <a:rPr lang="pl-PL" sz="9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", sekcję STAN WYKOŃCZENIOWY POD KLUCZ  </a:t>
              </a:r>
              <a:r>
                <a:rPr lang="pl-PL" sz="900" b="0" baseline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</a:t>
              </a:r>
              <a:r>
                <a:rPr lang="pl-PL" sz="9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oznaczymy kolorem </a:t>
              </a:r>
              <a:r>
                <a:rPr lang="pl-PL" sz="900" baseline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szarym tzn. nie wymaga uzupełnienia</a:t>
              </a:r>
              <a:endParaRPr lang="pl-PL" sz="9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10" name="Objaśnienie owalne 9">
              <a:extLst>
                <a:ext uri="{FF2B5EF4-FFF2-40B4-BE49-F238E27FC236}">
                  <a16:creationId xmlns:a16="http://schemas.microsoft.com/office/drawing/2014/main" id="{00000000-0008-0000-0100-00000A000000}"/>
                </a:ext>
              </a:extLst>
            </xdr:cNvPr>
            <xdr:cNvSpPr/>
          </xdr:nvSpPr>
          <xdr:spPr>
            <a:xfrm>
              <a:off x="12323206" y="7107665"/>
              <a:ext cx="2374977" cy="1123374"/>
            </a:xfrm>
            <a:prstGeom prst="wedgeEllipseCallout">
              <a:avLst>
                <a:gd name="adj1" fmla="val -118338"/>
                <a:gd name="adj2" fmla="val -143747"/>
              </a:avLst>
            </a:prstGeom>
            <a:solidFill>
              <a:srgbClr val="FFFF0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pl-PL" sz="9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OPIS WYDATKÓW:  </a:t>
              </a:r>
            </a:p>
            <a:p>
              <a:pPr algn="ctr"/>
              <a:r>
                <a:rPr lang="pl-PL" sz="900" b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np. faktura za materiały, </a:t>
              </a:r>
            </a:p>
            <a:p>
              <a:pPr algn="ctr"/>
              <a:r>
                <a:rPr lang="pl-PL" sz="900" b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nr</a:t>
              </a:r>
              <a:r>
                <a:rPr lang="pl-PL" sz="900" b="0" baseline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faktury, opis faktury </a:t>
              </a:r>
              <a:r>
                <a:rPr lang="pl-PL" sz="900" b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przedpłata za okna</a:t>
              </a:r>
            </a:p>
          </xdr:txBody>
        </xdr:sp>
        <xdr:sp macro="" textlink="">
          <xdr:nvSpPr>
            <xdr:cNvPr id="5" name="Objaśnienie owalne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2906168" y="3372149"/>
              <a:ext cx="1775460" cy="871836"/>
            </a:xfrm>
            <a:prstGeom prst="wedgeEllipseCallout">
              <a:avLst>
                <a:gd name="adj1" fmla="val -17178"/>
                <a:gd name="adj2" fmla="val 93710"/>
              </a:avLst>
            </a:prstGeom>
            <a:solidFill>
              <a:srgbClr val="FFFF0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pl-PL" sz="9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Sekcje</a:t>
              </a:r>
              <a:r>
                <a:rPr lang="pl-PL" sz="900" baseline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formularza posiadają listy rozwijane</a:t>
              </a:r>
              <a:endParaRPr lang="pl-PL" sz="9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</xdr:grpSp>
    <xdr:clientData/>
  </xdr:twoCellAnchor>
  <xdr:twoCellAnchor>
    <xdr:from>
      <xdr:col>0</xdr:col>
      <xdr:colOff>0</xdr:colOff>
      <xdr:row>2</xdr:row>
      <xdr:rowOff>333377</xdr:rowOff>
    </xdr:from>
    <xdr:to>
      <xdr:col>0</xdr:col>
      <xdr:colOff>247649</xdr:colOff>
      <xdr:row>3</xdr:row>
      <xdr:rowOff>242365</xdr:rowOff>
    </xdr:to>
    <xdr:sp macro="" textlink="">
      <xdr:nvSpPr>
        <xdr:cNvPr id="16" name="Trójkąt równoramienny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 rot="5400000">
          <a:off x="-21169" y="834606"/>
          <a:ext cx="289988" cy="247649"/>
        </a:xfrm>
        <a:prstGeom prst="triangle">
          <a:avLst/>
        </a:prstGeom>
        <a:solidFill>
          <a:srgbClr val="FFFF00"/>
        </a:solidFill>
        <a:ln w="9525" cap="rnd" cmpd="sng" algn="ctr">
          <a:noFill/>
          <a:prstDash val="solid"/>
          <a:round/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hangingPunct="1">
            <a:spcBef>
              <a:spcPts val="0"/>
            </a:spcBef>
            <a:spcAft>
              <a:spcPts val="0"/>
            </a:spcAft>
            <a:defRPr/>
          </a:pPr>
          <a:endParaRPr lang="pl-PL" sz="1600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0</xdr:colOff>
      <xdr:row>6</xdr:row>
      <xdr:rowOff>257175</xdr:rowOff>
    </xdr:from>
    <xdr:to>
      <xdr:col>0</xdr:col>
      <xdr:colOff>247649</xdr:colOff>
      <xdr:row>8</xdr:row>
      <xdr:rowOff>5295</xdr:rowOff>
    </xdr:to>
    <xdr:sp macro="" textlink="">
      <xdr:nvSpPr>
        <xdr:cNvPr id="17" name="Trójkąt równoramienny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 rot="5400000">
          <a:off x="-16935" y="1897170"/>
          <a:ext cx="281520" cy="247649"/>
        </a:xfrm>
        <a:prstGeom prst="triangle">
          <a:avLst/>
        </a:prstGeom>
        <a:solidFill>
          <a:srgbClr val="FFFF00"/>
        </a:solidFill>
        <a:ln w="9525" cap="rnd" cmpd="sng" algn="ctr">
          <a:noFill/>
          <a:prstDash val="solid"/>
          <a:round/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hangingPunct="1">
            <a:spcBef>
              <a:spcPts val="0"/>
            </a:spcBef>
            <a:spcAft>
              <a:spcPts val="0"/>
            </a:spcAft>
            <a:defRPr/>
          </a:pPr>
          <a:endParaRPr lang="pl-PL" sz="1600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16933</xdr:colOff>
      <xdr:row>9</xdr:row>
      <xdr:rowOff>214841</xdr:rowOff>
    </xdr:from>
    <xdr:to>
      <xdr:col>0</xdr:col>
      <xdr:colOff>264582</xdr:colOff>
      <xdr:row>11</xdr:row>
      <xdr:rowOff>47628</xdr:rowOff>
    </xdr:to>
    <xdr:sp macro="" textlink="">
      <xdr:nvSpPr>
        <xdr:cNvPr id="18" name="Trójkąt równoramienny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 rot="5400000">
          <a:off x="-4236" y="2666790"/>
          <a:ext cx="289987" cy="247649"/>
        </a:xfrm>
        <a:prstGeom prst="triangle">
          <a:avLst/>
        </a:prstGeom>
        <a:solidFill>
          <a:srgbClr val="FFFF00"/>
        </a:solidFill>
        <a:ln w="9525" cap="rnd" cmpd="sng" algn="ctr">
          <a:noFill/>
          <a:prstDash val="solid"/>
          <a:round/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hangingPunct="1">
            <a:spcBef>
              <a:spcPts val="0"/>
            </a:spcBef>
            <a:spcAft>
              <a:spcPts val="0"/>
            </a:spcAft>
            <a:defRPr/>
          </a:pPr>
          <a:endParaRPr lang="pl-PL" sz="1600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0</xdr:colOff>
      <xdr:row>2</xdr:row>
      <xdr:rowOff>62442</xdr:rowOff>
    </xdr:from>
    <xdr:to>
      <xdr:col>0</xdr:col>
      <xdr:colOff>247649</xdr:colOff>
      <xdr:row>2</xdr:row>
      <xdr:rowOff>352430</xdr:rowOff>
    </xdr:to>
    <xdr:sp macro="" textlink="">
      <xdr:nvSpPr>
        <xdr:cNvPr id="19" name="Trójkąt równoramienny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 rot="5400000">
          <a:off x="-21169" y="563671"/>
          <a:ext cx="289988" cy="247649"/>
        </a:xfrm>
        <a:prstGeom prst="triangle">
          <a:avLst/>
        </a:prstGeom>
        <a:solidFill>
          <a:srgbClr val="FFFF00"/>
        </a:solidFill>
        <a:ln w="9525" cap="rnd" cmpd="sng" algn="ctr">
          <a:noFill/>
          <a:prstDash val="solid"/>
          <a:round/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hangingPunct="1">
            <a:spcBef>
              <a:spcPts val="0"/>
            </a:spcBef>
            <a:spcAft>
              <a:spcPts val="0"/>
            </a:spcAft>
            <a:defRPr/>
          </a:pPr>
          <a:endParaRPr lang="pl-PL" sz="1600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0</xdr:colOff>
      <xdr:row>48</xdr:row>
      <xdr:rowOff>129329</xdr:rowOff>
    </xdr:from>
    <xdr:to>
      <xdr:col>24</xdr:col>
      <xdr:colOff>296333</xdr:colOff>
      <xdr:row>81</xdr:row>
      <xdr:rowOff>79984</xdr:rowOff>
    </xdr:to>
    <xdr:grpSp>
      <xdr:nvGrpSpPr>
        <xdr:cNvPr id="32" name="Grupa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GrpSpPr/>
      </xdr:nvGrpSpPr>
      <xdr:grpSpPr>
        <a:xfrm>
          <a:off x="0" y="10130579"/>
          <a:ext cx="14092700" cy="6513975"/>
          <a:chOff x="-380046" y="9352527"/>
          <a:chExt cx="14441281" cy="6293513"/>
        </a:xfrm>
      </xdr:grpSpPr>
      <xdr:sp macro="" textlink="">
        <xdr:nvSpPr>
          <xdr:cNvPr id="12" name="Objaśnienie owalne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/>
        </xdr:nvSpPr>
        <xdr:spPr>
          <a:xfrm>
            <a:off x="1263819" y="9516993"/>
            <a:ext cx="1446953" cy="1034427"/>
          </a:xfrm>
          <a:prstGeom prst="wedgeEllipseCallout">
            <a:avLst>
              <a:gd name="adj1" fmla="val 338537"/>
              <a:gd name="adj2" fmla="val 161737"/>
            </a:avLst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l-PL" sz="1050">
                <a:solidFill>
                  <a:schemeClr val="bg1"/>
                </a:solidFill>
              </a:rPr>
              <a:t>j </a:t>
            </a:r>
          </a:p>
        </xdr:txBody>
      </xdr:sp>
      <xdr:sp macro="" textlink="">
        <xdr:nvSpPr>
          <xdr:cNvPr id="13" name="Objaśnienie owalne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/>
        </xdr:nvSpPr>
        <xdr:spPr>
          <a:xfrm>
            <a:off x="-380046" y="9352527"/>
            <a:ext cx="3521319" cy="1724213"/>
          </a:xfrm>
          <a:prstGeom prst="wedgeEllipseCallout">
            <a:avLst>
              <a:gd name="adj1" fmla="val 73947"/>
              <a:gd name="adj2" fmla="val 138112"/>
            </a:avLst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>
              <a:lnSpc>
                <a:spcPts val="1200"/>
              </a:lnSpc>
            </a:pPr>
            <a:r>
              <a:rPr lang="pl-PL" sz="9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PROPONOWANY</a:t>
            </a:r>
            <a:r>
              <a:rPr lang="pl-PL" sz="9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WKŁAD WŁASNY</a:t>
            </a:r>
            <a:r>
              <a:rPr lang="pl-PL" sz="90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: </a:t>
            </a:r>
          </a:p>
          <a:p>
            <a:pPr algn="ctr">
              <a:lnSpc>
                <a:spcPts val="1200"/>
              </a:lnSpc>
            </a:pPr>
            <a:r>
              <a:rPr lang="pl-PL" sz="90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rozpisz proponowany wkład własny,                z zastrzeżeniem, że przed pierwszą transzą  wkład własny w kredycie w złotych nie może być mnijeszy niż 10% kosztu inwestycji, pomniejszony o wartości działki*</a:t>
            </a:r>
            <a:endParaRPr lang="pl-PL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5" name="Objaśnienie owalne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/>
        </xdr:nvSpPr>
        <xdr:spPr>
          <a:xfrm>
            <a:off x="10207698" y="12844148"/>
            <a:ext cx="3050442" cy="1161927"/>
          </a:xfrm>
          <a:prstGeom prst="wedgeEllipseCallout">
            <a:avLst>
              <a:gd name="adj1" fmla="val -71174"/>
              <a:gd name="adj2" fmla="val -37376"/>
            </a:avLst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pl-PL" sz="9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ctr"/>
            <a:r>
              <a:rPr lang="pl-PL" sz="9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KWOTA Z</a:t>
            </a:r>
            <a:r>
              <a:rPr lang="pl-PL" sz="9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KREDYTU</a:t>
            </a:r>
            <a:r>
              <a:rPr lang="pl-PL" sz="90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wymaga rozpisania w zgodnie założonym harmonogramam  budowy</a:t>
            </a:r>
            <a:r>
              <a:rPr lang="pl-PL" sz="9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 </a:t>
            </a:r>
            <a:r>
              <a:rPr lang="pl-PL" sz="90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endParaRPr lang="pl-PL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3" name="Objaśnienie owalne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/>
        </xdr:nvSpPr>
        <xdr:spPr>
          <a:xfrm>
            <a:off x="9271530" y="11744738"/>
            <a:ext cx="1831527" cy="575250"/>
          </a:xfrm>
          <a:prstGeom prst="wedgeEllipseCallout">
            <a:avLst>
              <a:gd name="adj1" fmla="val -90826"/>
              <a:gd name="adj2" fmla="val 5946"/>
            </a:avLst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l-PL" sz="9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Pole obowiązkowe</a:t>
            </a:r>
            <a:endParaRPr lang="pl-PL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5" name="Objaśnienie owalne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/>
        </xdr:nvSpPr>
        <xdr:spPr>
          <a:xfrm>
            <a:off x="12123713" y="14572915"/>
            <a:ext cx="1937522" cy="1073125"/>
          </a:xfrm>
          <a:prstGeom prst="wedgeEllipseCallout">
            <a:avLst>
              <a:gd name="adj1" fmla="val -84086"/>
              <a:gd name="adj2" fmla="val 26216"/>
            </a:avLst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l-PL" sz="9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Podpowiedzi o konieczności uzupełnienia kwot transz</a:t>
            </a:r>
          </a:p>
        </xdr:txBody>
      </xdr:sp>
    </xdr:grpSp>
    <xdr:clientData/>
  </xdr:twoCellAnchor>
  <xdr:twoCellAnchor editAs="oneCell">
    <xdr:from>
      <xdr:col>4</xdr:col>
      <xdr:colOff>31752</xdr:colOff>
      <xdr:row>23</xdr:row>
      <xdr:rowOff>109568</xdr:rowOff>
    </xdr:from>
    <xdr:to>
      <xdr:col>7</xdr:col>
      <xdr:colOff>359834</xdr:colOff>
      <xdr:row>28</xdr:row>
      <xdr:rowOff>153377</xdr:rowOff>
    </xdr:to>
    <xdr:pic>
      <xdr:nvPicPr>
        <xdr:cNvPr id="24" name="Obraz 23">
          <a:extLst>
            <a:ext uri="{FF2B5EF4-FFF2-40B4-BE49-F238E27FC236}">
              <a16:creationId xmlns:a16="http://schemas.microsoft.com/office/drawing/2014/main" id="{E5BC691A-8B5E-1693-A013-10B75292F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2" y="5210735"/>
          <a:ext cx="1947332" cy="996309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89</xdr:row>
      <xdr:rowOff>0</xdr:rowOff>
    </xdr:from>
    <xdr:to>
      <xdr:col>5</xdr:col>
      <xdr:colOff>242263</xdr:colOff>
      <xdr:row>92</xdr:row>
      <xdr:rowOff>15797</xdr:rowOff>
    </xdr:to>
    <xdr:sp macro="" textlink="">
      <xdr:nvSpPr>
        <xdr:cNvPr id="11" name="Objaśnienie owalne 22">
          <a:extLst>
            <a:ext uri="{FF2B5EF4-FFF2-40B4-BE49-F238E27FC236}">
              <a16:creationId xmlns:a16="http://schemas.microsoft.com/office/drawing/2014/main" id="{D6426219-1CAC-4306-B0BF-239A59B0D0B6}"/>
            </a:ext>
          </a:extLst>
        </xdr:cNvPr>
        <xdr:cNvSpPr/>
      </xdr:nvSpPr>
      <xdr:spPr>
        <a:xfrm>
          <a:off x="912813" y="17799844"/>
          <a:ext cx="1849606" cy="581344"/>
        </a:xfrm>
        <a:prstGeom prst="wedgeEllipseCallout">
          <a:avLst>
            <a:gd name="adj1" fmla="val -38255"/>
            <a:gd name="adj2" fmla="val -164726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pl-PL" sz="9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pl-PL" sz="9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Pole obowiązkowe</a:t>
          </a:r>
          <a:endParaRPr lang="pl-PL" sz="9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4</xdr:row>
          <xdr:rowOff>0</xdr:rowOff>
        </xdr:from>
        <xdr:to>
          <xdr:col>2</xdr:col>
          <xdr:colOff>2162207</xdr:colOff>
          <xdr:row>6</xdr:row>
          <xdr:rowOff>72189</xdr:rowOff>
        </xdr:to>
        <xdr:grpSp>
          <xdr:nvGrpSpPr>
            <xdr:cNvPr id="10" name="Grupa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GrpSpPr/>
          </xdr:nvGrpSpPr>
          <xdr:grpSpPr>
            <a:xfrm>
              <a:off x="0" y="653143"/>
              <a:ext cx="10748314" cy="398760"/>
              <a:chOff x="2582314" y="2688571"/>
              <a:chExt cx="10486431" cy="464289"/>
            </a:xfrm>
            <a:solidFill>
              <a:sysClr val="window" lastClr="FFFFFF"/>
            </a:solidFill>
          </xdr:grpSpPr>
          <xdr:sp macro="" textlink="">
            <xdr:nvSpPr>
              <xdr:cNvPr id="3080" name="Check Box 8" hidden="1">
                <a:extLst>
                  <a:ext uri="{63B3BB69-23CF-44E3-9099-C40C66FF867C}">
                    <a14:compatExt spid="_x0000_s3080"/>
                  </a:ext>
                  <a:ext uri="{FF2B5EF4-FFF2-40B4-BE49-F238E27FC236}">
                    <a16:creationId xmlns:a16="http://schemas.microsoft.com/office/drawing/2014/main" id="{00000000-0008-0000-0200-0000080C0000}"/>
                  </a:ext>
                </a:extLst>
              </xdr:cNvPr>
              <xdr:cNvSpPr/>
            </xdr:nvSpPr>
            <xdr:spPr bwMode="auto">
              <a:xfrm>
                <a:off x="7630491" y="2688571"/>
                <a:ext cx="1853709" cy="43440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99CC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pl-PL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wnętrze/wykończenie "POD KLUCZ"</a:t>
                </a:r>
              </a:p>
            </xdr:txBody>
          </xdr:sp>
          <xdr:sp macro="" textlink="">
            <xdr:nvSpPr>
              <xdr:cNvPr id="3081" name="Check Box 9" hidden="1">
                <a:extLst>
                  <a:ext uri="{63B3BB69-23CF-44E3-9099-C40C66FF867C}">
                    <a14:compatExt spid="_x0000_s3081"/>
                  </a:ext>
                  <a:ext uri="{FF2B5EF4-FFF2-40B4-BE49-F238E27FC236}">
                    <a16:creationId xmlns:a16="http://schemas.microsoft.com/office/drawing/2014/main" id="{00000000-0008-0000-0200-0000090C0000}"/>
                  </a:ext>
                </a:extLst>
              </xdr:cNvPr>
              <xdr:cNvSpPr/>
            </xdr:nvSpPr>
            <xdr:spPr bwMode="auto">
              <a:xfrm>
                <a:off x="9517255" y="2720436"/>
                <a:ext cx="1537395" cy="43242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CCFFCC" mc:Ignorable="a14" a14:legacySpreadsheetColorIndex="42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pl-PL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zagospodarowanie terenu/ogród/ogrodzenie</a:t>
                </a:r>
              </a:p>
            </xdr:txBody>
          </xdr:sp>
          <xdr:sp macro="" textlink="">
            <xdr:nvSpPr>
              <xdr:cNvPr id="3082" name="Check Box 10" descr="elewacje/okna/ocieplenie &#10;STAN DEWELOPERSKI" hidden="1">
                <a:extLst>
                  <a:ext uri="{63B3BB69-23CF-44E3-9099-C40C66FF867C}">
                    <a14:compatExt spid="_x0000_s3082"/>
                  </a:ext>
                  <a:ext uri="{FF2B5EF4-FFF2-40B4-BE49-F238E27FC236}">
                    <a16:creationId xmlns:a16="http://schemas.microsoft.com/office/drawing/2014/main" id="{00000000-0008-0000-0200-00000A0C0000}"/>
                  </a:ext>
                </a:extLst>
              </xdr:cNvPr>
              <xdr:cNvSpPr/>
            </xdr:nvSpPr>
            <xdr:spPr bwMode="auto">
              <a:xfrm>
                <a:off x="5393260" y="2700739"/>
                <a:ext cx="1344128" cy="4387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99" mc:Ignorable="a14" a14:legacySpreadsheetColorIndex="43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pl-PL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elewacje/okna/ocieplenie STAN DEWELOPERSKI</a:t>
                </a:r>
              </a:p>
            </xdr:txBody>
          </xdr:sp>
          <xdr:sp macro="" textlink="">
            <xdr:nvSpPr>
              <xdr:cNvPr id="3083" name="Check Box 11" hidden="1">
                <a:extLst>
                  <a:ext uri="{63B3BB69-23CF-44E3-9099-C40C66FF867C}">
                    <a14:compatExt spid="_x0000_s3083"/>
                  </a:ext>
                  <a:ext uri="{FF2B5EF4-FFF2-40B4-BE49-F238E27FC236}">
                    <a16:creationId xmlns:a16="http://schemas.microsoft.com/office/drawing/2014/main" id="{00000000-0008-0000-0200-00000B0C0000}"/>
                  </a:ext>
                </a:extLst>
              </xdr:cNvPr>
              <xdr:cNvSpPr/>
            </xdr:nvSpPr>
            <xdr:spPr bwMode="auto">
              <a:xfrm>
                <a:off x="11103750" y="2719447"/>
                <a:ext cx="1964995" cy="42224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99CCFF" mc:Ignorable="a14" a14:legacySpreadsheetColorIndex="44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pl-PL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Generalny wykonawca lub inne prace</a:t>
                </a:r>
              </a:p>
            </xdr:txBody>
          </xdr:sp>
          <xdr:sp macro="" textlink="">
            <xdr:nvSpPr>
              <xdr:cNvPr id="3084" name="Check Box 12" hidden="1">
                <a:extLst>
                  <a:ext uri="{63B3BB69-23CF-44E3-9099-C40C66FF867C}">
                    <a14:compatExt spid="_x0000_s3084"/>
                  </a:ext>
                  <a:ext uri="{FF2B5EF4-FFF2-40B4-BE49-F238E27FC236}">
                    <a16:creationId xmlns:a16="http://schemas.microsoft.com/office/drawing/2014/main" id="{00000000-0008-0000-0200-00000C0C0000}"/>
                  </a:ext>
                </a:extLst>
              </xdr:cNvPr>
              <xdr:cNvSpPr/>
            </xdr:nvSpPr>
            <xdr:spPr bwMode="auto">
              <a:xfrm>
                <a:off x="6758966" y="2691667"/>
                <a:ext cx="845849" cy="4455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CC99" mc:Ignorable="a14" a14:legacySpreadsheetColorIndex="47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pl-PL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INSTALACJE wewnętrzne</a:t>
                </a:r>
              </a:p>
            </xdr:txBody>
          </xdr:sp>
          <xdr:sp macro="" textlink="">
            <xdr:nvSpPr>
              <xdr:cNvPr id="3085" name="Check Box 13" hidden="1">
                <a:extLst>
                  <a:ext uri="{63B3BB69-23CF-44E3-9099-C40C66FF867C}">
                    <a14:compatExt spid="_x0000_s3085"/>
                  </a:ext>
                  <a:ext uri="{FF2B5EF4-FFF2-40B4-BE49-F238E27FC236}">
                    <a16:creationId xmlns:a16="http://schemas.microsoft.com/office/drawing/2014/main" id="{00000000-0008-0000-0200-00000D0C0000}"/>
                  </a:ext>
                </a:extLst>
              </xdr:cNvPr>
              <xdr:cNvSpPr/>
            </xdr:nvSpPr>
            <xdr:spPr bwMode="auto">
              <a:xfrm>
                <a:off x="2582314" y="2718193"/>
                <a:ext cx="921408" cy="43298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CCFFFF" mc:Ignorable="a14" a14:legacySpreadsheetColorIndex="41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pl-PL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PRZYŁĄCZA mediów</a:t>
                </a:r>
              </a:p>
            </xdr:txBody>
          </xdr:sp>
          <xdr:sp macro="" textlink="">
            <xdr:nvSpPr>
              <xdr:cNvPr id="3086" name="Check Box 14" hidden="1">
                <a:extLst>
                  <a:ext uri="{63B3BB69-23CF-44E3-9099-C40C66FF867C}">
                    <a14:compatExt spid="_x0000_s3086"/>
                  </a:ext>
                  <a:ext uri="{FF2B5EF4-FFF2-40B4-BE49-F238E27FC236}">
                    <a16:creationId xmlns:a16="http://schemas.microsoft.com/office/drawing/2014/main" id="{00000000-0008-0000-0200-00000E0C0000}"/>
                  </a:ext>
                </a:extLst>
              </xdr:cNvPr>
              <xdr:cNvSpPr/>
            </xdr:nvSpPr>
            <xdr:spPr bwMode="auto">
              <a:xfrm>
                <a:off x="3691262" y="2713780"/>
                <a:ext cx="1698719" cy="42130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CCCCFF" mc:Ignorable="a14" a14:legacySpreadsheetColorIndex="31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pl-PL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STAN ZEROWY i STAN SUROWY</a:t>
                </a:r>
              </a:p>
            </xdr:txBody>
          </xdr:sp>
        </xdr:grp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outlinePr summaryBelow="0"/>
    <pageSetUpPr fitToPage="1"/>
  </sheetPr>
  <dimension ref="A1:AD101"/>
  <sheetViews>
    <sheetView showGridLines="0" tabSelected="1" zoomScale="70" zoomScaleNormal="70" zoomScaleSheetLayoutView="55" zoomScalePageLayoutView="85" workbookViewId="0">
      <selection activeCell="H79" sqref="H79:I90"/>
    </sheetView>
  </sheetViews>
  <sheetFormatPr defaultColWidth="9.140625" defaultRowHeight="14.25" outlineLevelRow="1" x14ac:dyDescent="0.2"/>
  <cols>
    <col min="1" max="1" width="0.42578125" style="1" customWidth="1"/>
    <col min="2" max="2" width="3.7109375" style="1" customWidth="1"/>
    <col min="3" max="3" width="8" style="1" customWidth="1"/>
    <col min="4" max="4" width="4.42578125" style="1" customWidth="1"/>
    <col min="5" max="5" width="17.5703125" style="1" customWidth="1"/>
    <col min="6" max="6" width="27.42578125" style="1" customWidth="1"/>
    <col min="7" max="7" width="53.5703125" style="1" customWidth="1"/>
    <col min="8" max="8" width="24.28515625" style="1" customWidth="1"/>
    <col min="9" max="9" width="20.28515625" style="1" customWidth="1"/>
    <col min="10" max="10" width="32.85546875" style="1" customWidth="1"/>
    <col min="11" max="11" width="25.7109375" style="152" hidden="1" customWidth="1"/>
    <col min="12" max="12" width="19.140625" style="1" hidden="1" customWidth="1"/>
    <col min="13" max="13" width="27" style="1" hidden="1" customWidth="1"/>
    <col min="14" max="14" width="12.140625" style="1" hidden="1" customWidth="1"/>
    <col min="15" max="15" width="15.5703125" style="1" hidden="1" customWidth="1"/>
    <col min="16" max="16" width="13.7109375" style="1" hidden="1" customWidth="1"/>
    <col min="17" max="17" width="15.28515625" style="1" hidden="1" customWidth="1"/>
    <col min="18" max="18" width="15" style="1" hidden="1" customWidth="1"/>
    <col min="19" max="19" width="15.5703125" style="1" hidden="1" customWidth="1"/>
    <col min="20" max="20" width="13.7109375" style="1" hidden="1" customWidth="1"/>
    <col min="21" max="21" width="18.28515625" style="1" hidden="1" customWidth="1"/>
    <col min="22" max="22" width="13.85546875" style="1" hidden="1" customWidth="1"/>
    <col min="23" max="23" width="14" style="1" hidden="1" customWidth="1"/>
    <col min="24" max="24" width="16.42578125" style="1" hidden="1" customWidth="1"/>
    <col min="25" max="25" width="17.5703125" style="1" hidden="1" customWidth="1"/>
    <col min="26" max="26" width="18" style="1" hidden="1" customWidth="1"/>
    <col min="27" max="27" width="9.140625" style="1" customWidth="1"/>
    <col min="28" max="28" width="13.5703125" style="1" customWidth="1"/>
    <col min="29" max="29" width="9.140625" style="1" customWidth="1"/>
    <col min="30" max="30" width="11.7109375" style="1" customWidth="1"/>
    <col min="31" max="31" width="9.140625" style="1" customWidth="1"/>
    <col min="32" max="16384" width="9.140625" style="1"/>
  </cols>
  <sheetData>
    <row r="1" spans="1:13" ht="51.75" customHeight="1" thickBot="1" x14ac:dyDescent="0.25">
      <c r="B1" s="187"/>
      <c r="C1" s="188"/>
      <c r="D1" s="189"/>
      <c r="E1" s="239"/>
      <c r="F1" s="239"/>
      <c r="G1" s="239"/>
      <c r="H1" s="239"/>
      <c r="I1" s="239"/>
      <c r="J1" s="239"/>
      <c r="K1" s="151"/>
    </row>
    <row r="2" spans="1:13" ht="18" customHeight="1" x14ac:dyDescent="0.25">
      <c r="B2" s="265" t="s">
        <v>176</v>
      </c>
      <c r="C2" s="265"/>
      <c r="D2" s="265"/>
      <c r="E2" s="265"/>
      <c r="F2" s="265"/>
      <c r="G2" s="265"/>
      <c r="H2" s="265"/>
      <c r="I2" s="265"/>
      <c r="J2" s="149" t="s">
        <v>195</v>
      </c>
      <c r="K2" s="151"/>
    </row>
    <row r="3" spans="1:13" ht="30" customHeight="1" x14ac:dyDescent="0.2">
      <c r="B3" s="237" t="s">
        <v>78</v>
      </c>
      <c r="C3" s="238"/>
      <c r="D3" s="238"/>
      <c r="E3" s="238"/>
      <c r="F3" s="245"/>
      <c r="G3" s="245"/>
      <c r="H3" s="246"/>
      <c r="I3" s="64" t="s">
        <v>79</v>
      </c>
      <c r="J3" s="65"/>
      <c r="K3" s="151"/>
    </row>
    <row r="4" spans="1:13" ht="16.899999999999999" customHeight="1" x14ac:dyDescent="0.2">
      <c r="B4" s="241" t="s">
        <v>105</v>
      </c>
      <c r="C4" s="242"/>
      <c r="D4" s="242"/>
      <c r="E4" s="242"/>
      <c r="F4" s="119"/>
      <c r="G4" s="39" t="s">
        <v>80</v>
      </c>
      <c r="H4" s="250"/>
      <c r="I4" s="250"/>
      <c r="J4" s="251"/>
      <c r="K4" s="151"/>
    </row>
    <row r="5" spans="1:13" ht="51" customHeight="1" x14ac:dyDescent="0.2">
      <c r="B5" s="241" t="s">
        <v>29</v>
      </c>
      <c r="C5" s="242"/>
      <c r="D5" s="242"/>
      <c r="E5" s="66"/>
      <c r="F5" s="39" t="s">
        <v>30</v>
      </c>
      <c r="G5" s="67" t="s">
        <v>95</v>
      </c>
      <c r="H5" s="55" t="s">
        <v>173</v>
      </c>
      <c r="I5" s="167"/>
      <c r="J5" s="168"/>
      <c r="K5" s="151"/>
    </row>
    <row r="6" spans="1:13" ht="30" customHeight="1" x14ac:dyDescent="0.2">
      <c r="B6" s="248" t="s">
        <v>16</v>
      </c>
      <c r="C6" s="249"/>
      <c r="D6" s="249"/>
      <c r="E6" s="249"/>
      <c r="F6" s="68"/>
      <c r="G6" s="54" t="s">
        <v>106</v>
      </c>
      <c r="H6" s="68"/>
      <c r="I6" s="40" t="s">
        <v>72</v>
      </c>
      <c r="J6" s="68"/>
    </row>
    <row r="7" spans="1:13" ht="28.15" customHeight="1" x14ac:dyDescent="0.2">
      <c r="B7" s="241" t="s">
        <v>73</v>
      </c>
      <c r="C7" s="242"/>
      <c r="D7" s="242"/>
      <c r="E7" s="242"/>
      <c r="F7" s="68"/>
      <c r="G7" s="54" t="str">
        <f>IF(EXACT($J$3,"Lokal mieszkalny"),IF(ISBLANK(E1),"Czy Twoje mieszkanie jest piętrowe? Podaj liczbę kondygnacji  
(poddasze ze skosami jako 0,5):","Na ilu kondygnacjach położone jest Twoje mieszkanie (poddasze jako 0,5):"),"Liczba kondygnacji nadziemnych (poddasze jako 0,5):")</f>
        <v>Liczba kondygnacji nadziemnych (poddasze jako 0,5):</v>
      </c>
      <c r="H7" s="68"/>
      <c r="I7" s="39" t="s">
        <v>124</v>
      </c>
      <c r="J7" s="67"/>
    </row>
    <row r="8" spans="1:13" ht="13.15" customHeight="1" x14ac:dyDescent="0.2">
      <c r="B8" s="254"/>
      <c r="C8" s="254"/>
      <c r="D8" s="254"/>
      <c r="E8" s="254"/>
      <c r="F8" s="247"/>
      <c r="G8" s="247"/>
      <c r="H8" s="247"/>
      <c r="I8" s="247"/>
      <c r="J8" s="247"/>
    </row>
    <row r="9" spans="1:13" ht="15.75" customHeight="1" thickBot="1" x14ac:dyDescent="0.25">
      <c r="B9" s="273" t="str">
        <f>IF(EXACT(E1,"Załącznik do Umowy"),"",IF(AND(NOT(EXACT($J$3,"Lokal mieszkalny")),EXACT($H$4,"Budowa"),$F$4&gt;0,NOT(ISBLANK($F$6)),NOT(ISBLANK($J$7))),CONCATENATE("Przeciętny koszt wybudowania domu wynosi"," ",ROUND(Wyliczenia!Q7,-3)," zł"),IF(AND(EXACT($J$3,"Lokal mieszkalny"),EXACT($H$4,"Prace wykończeniowe"),NOT(EXACT($F$7,"Deweloperski")),$F$4&gt;0,NOT(ISBLANK($G$5)),NOT(ISBLANK($F$7))),CONCATENATE("Przeciętny koszt prac wykończeniowych lokalu mieszkalnego wynosi"," ",_xlfn.IFNA(HLOOKUP(F7,Wyliczenia!R1:U7,7,FALSE),Wyliczenia!S7)," zł"),"")))</f>
        <v/>
      </c>
      <c r="C9" s="273"/>
      <c r="D9" s="273"/>
      <c r="E9" s="273"/>
      <c r="F9" s="273"/>
      <c r="G9" s="273"/>
      <c r="H9" s="273"/>
      <c r="I9" s="273"/>
      <c r="J9" s="2"/>
      <c r="K9" s="153"/>
    </row>
    <row r="10" spans="1:13" ht="18" customHeight="1" thickBot="1" x14ac:dyDescent="0.25">
      <c r="B10" s="243" t="s">
        <v>107</v>
      </c>
      <c r="C10" s="243"/>
      <c r="D10" s="243"/>
      <c r="E10" s="243"/>
      <c r="F10" s="243"/>
      <c r="G10" s="243"/>
      <c r="H10" s="243"/>
      <c r="I10" s="244"/>
      <c r="J10" s="69"/>
      <c r="K10" s="154"/>
    </row>
    <row r="11" spans="1:13" ht="15.75" customHeight="1" thickBot="1" x14ac:dyDescent="0.25">
      <c r="A11" s="145"/>
      <c r="B11" s="262" t="s">
        <v>158</v>
      </c>
      <c r="C11" s="262"/>
      <c r="D11" s="262"/>
      <c r="E11" s="262"/>
      <c r="F11" s="262"/>
      <c r="G11" s="170" t="s">
        <v>161</v>
      </c>
      <c r="H11" s="170" t="s">
        <v>159</v>
      </c>
      <c r="I11" s="170" t="s">
        <v>163</v>
      </c>
      <c r="J11" s="170" t="s">
        <v>162</v>
      </c>
      <c r="K11" s="171" t="s">
        <v>160</v>
      </c>
      <c r="L11" s="172" t="s">
        <v>165</v>
      </c>
    </row>
    <row r="12" spans="1:13" ht="31.5" customHeight="1" x14ac:dyDescent="0.2">
      <c r="B12" s="275" t="s">
        <v>32</v>
      </c>
      <c r="C12" s="276"/>
      <c r="D12" s="276"/>
      <c r="E12" s="276"/>
      <c r="F12" s="277"/>
      <c r="G12" s="258" t="s">
        <v>20</v>
      </c>
      <c r="H12" s="42" t="s">
        <v>33</v>
      </c>
      <c r="I12" s="42" t="s">
        <v>18</v>
      </c>
      <c r="J12" s="267" t="s">
        <v>31</v>
      </c>
      <c r="K12" s="260" t="s">
        <v>157</v>
      </c>
      <c r="M12" s="4"/>
    </row>
    <row r="13" spans="1:13" ht="28.5" customHeight="1" thickBot="1" x14ac:dyDescent="0.25">
      <c r="B13" s="278"/>
      <c r="C13" s="279"/>
      <c r="D13" s="279"/>
      <c r="E13" s="279"/>
      <c r="F13" s="280"/>
      <c r="G13" s="259"/>
      <c r="H13" s="43" t="s">
        <v>0</v>
      </c>
      <c r="I13" s="43" t="s">
        <v>17</v>
      </c>
      <c r="J13" s="268"/>
      <c r="K13" s="261"/>
      <c r="M13" s="4"/>
    </row>
    <row r="14" spans="1:13" s="41" customFormat="1" ht="16.149999999999999" customHeight="1" thickBot="1" x14ac:dyDescent="0.25">
      <c r="B14" s="63" t="s">
        <v>116</v>
      </c>
      <c r="C14" s="229" t="s">
        <v>177</v>
      </c>
      <c r="D14" s="229"/>
      <c r="E14" s="229"/>
      <c r="F14" s="229"/>
      <c r="G14" s="163" t="str">
        <f>IF(EXACT(E1,"Załącznik do Umowy"),"",IF(AND(NOT(EXACT($J$3,"Lokal mieszkalny")),EXACT(LEFT($H$4,6),"Budowa"),$F$4&gt;0,NOT(ISBLANK($F$6)),NOT(ISBLANK($J$7)),Wyliczenia!AC24&gt;0),CONCATENATE("Przeciętne koszty wykonania przyłączy wynoszą"," ",Wyliczenia!R24,"zł"),""))</f>
        <v/>
      </c>
      <c r="H14" s="164" t="str">
        <f>IF(Wyliczenia!AC24&gt;0,Wyliczenia!AG24,"")</f>
        <v/>
      </c>
      <c r="I14" s="164" t="str">
        <f>IF(Wyliczenia!AE24&gt;0,Wyliczenia!AH24,"")</f>
        <v/>
      </c>
      <c r="J14" s="182" t="str">
        <f>IF(Wyliczenia!AC24&gt;0,Wyliczenia!AF24,"")</f>
        <v/>
      </c>
      <c r="K14" s="173" t="str">
        <f>IF(AND(NOT(EXACT($J$3,"Lokal mieszkalny")),EXACT(LEFT($H$4,6),"Budowa"),$F$4&gt;0,NOT(ISBLANK($F$6)),NOT(ISBLANK($J$7)),Wyliczenia!AC24&gt;0),Wyliczenia!AJ24,"")</f>
        <v/>
      </c>
    </row>
    <row r="15" spans="1:13" s="4" customFormat="1" ht="24.6" customHeight="1" outlineLevel="1" x14ac:dyDescent="0.2">
      <c r="B15" s="99"/>
      <c r="C15" s="281" t="s">
        <v>5</v>
      </c>
      <c r="D15" s="281"/>
      <c r="E15" s="281"/>
      <c r="F15" s="281"/>
      <c r="G15" s="120"/>
      <c r="H15" s="108"/>
      <c r="I15" s="195"/>
      <c r="J15" s="123"/>
      <c r="K15" s="174">
        <v>0.1</v>
      </c>
    </row>
    <row r="16" spans="1:13" s="4" customFormat="1" ht="25.15" customHeight="1" outlineLevel="1" x14ac:dyDescent="0.2">
      <c r="B16" s="100"/>
      <c r="C16" s="257" t="s">
        <v>6</v>
      </c>
      <c r="D16" s="257"/>
      <c r="E16" s="257"/>
      <c r="F16" s="257"/>
      <c r="G16" s="121"/>
      <c r="H16" s="109"/>
      <c r="I16" s="196"/>
      <c r="J16" s="124"/>
      <c r="K16" s="175">
        <v>0.5</v>
      </c>
    </row>
    <row r="17" spans="1:11" s="4" customFormat="1" ht="25.15" customHeight="1" outlineLevel="1" x14ac:dyDescent="0.2">
      <c r="B17" s="129"/>
      <c r="C17" s="217" t="s">
        <v>7</v>
      </c>
      <c r="D17" s="217"/>
      <c r="E17" s="217"/>
      <c r="F17" s="217"/>
      <c r="G17" s="124"/>
      <c r="H17" s="130"/>
      <c r="I17" s="197"/>
      <c r="J17" s="124"/>
      <c r="K17" s="175"/>
    </row>
    <row r="18" spans="1:11" s="4" customFormat="1" ht="25.15" customHeight="1" outlineLevel="1" x14ac:dyDescent="0.2">
      <c r="B18" s="100"/>
      <c r="C18" s="257" t="s">
        <v>8</v>
      </c>
      <c r="D18" s="257"/>
      <c r="E18" s="257"/>
      <c r="F18" s="257"/>
      <c r="G18" s="121"/>
      <c r="H18" s="109"/>
      <c r="I18" s="196"/>
      <c r="J18" s="124"/>
      <c r="K18" s="175"/>
    </row>
    <row r="19" spans="1:11" s="4" customFormat="1" ht="25.15" customHeight="1" outlineLevel="1" thickBot="1" x14ac:dyDescent="0.25">
      <c r="A19" s="101"/>
      <c r="B19" s="131"/>
      <c r="C19" s="240" t="s">
        <v>24</v>
      </c>
      <c r="D19" s="240"/>
      <c r="E19" s="240"/>
      <c r="F19" s="240"/>
      <c r="G19" s="132"/>
      <c r="H19" s="133"/>
      <c r="I19" s="198"/>
      <c r="J19" s="132"/>
      <c r="K19" s="176"/>
    </row>
    <row r="20" spans="1:11" s="41" customFormat="1" ht="16.149999999999999" customHeight="1" thickBot="1" x14ac:dyDescent="0.25">
      <c r="B20" s="63" t="s">
        <v>116</v>
      </c>
      <c r="C20" s="252" t="s">
        <v>178</v>
      </c>
      <c r="D20" s="252"/>
      <c r="E20" s="252"/>
      <c r="F20" s="253"/>
      <c r="G20" s="163" t="str">
        <f>IF(EXACT(E1,"Załącznik do Umowy"),"",IF(AND(NOT(EXACT($J$3,"Lokal mieszkalny")),EXACT(LEFT($H$4,6),"Budowa"),$F$4&gt;0,NOT(ISBLANK($F$6)),NOT(ISBLANK($J$7)),Wyliczenia!AC30&gt;0),CONCATENATE("Przeciętne koszty wykonania stanu zerowego wynoszą"," ",Wyliczenia!R30,"zł"),""))</f>
        <v/>
      </c>
      <c r="H20" s="164" t="str">
        <f>IF(Wyliczenia!AC30&gt;0,Wyliczenia!AG30,"")</f>
        <v/>
      </c>
      <c r="I20" s="164" t="str">
        <f>IF(Wyliczenia!AE30&gt;0,Wyliczenia!AH30,"")</f>
        <v/>
      </c>
      <c r="J20" s="182" t="str">
        <f>IF(Wyliczenia!AC30&gt;0,Wyliczenia!AF30,"")</f>
        <v/>
      </c>
      <c r="K20" s="177" t="str">
        <f>IF(AND(NOT(EXACT($J$3,"Lokal mieszkalny")),EXACT(LEFT($H$4,6),"Budowa"),$F$4&gt;0,NOT(ISBLANK($F$6)),NOT(ISBLANK($J$7)),Wyliczenia!AC30&gt;0),Wyliczenia!AJ30,"")</f>
        <v/>
      </c>
    </row>
    <row r="21" spans="1:11" s="4" customFormat="1" ht="25.15" customHeight="1" outlineLevel="1" x14ac:dyDescent="0.2">
      <c r="B21" s="99"/>
      <c r="C21" s="255" t="s">
        <v>1</v>
      </c>
      <c r="D21" s="256"/>
      <c r="E21" s="256"/>
      <c r="F21" s="256"/>
      <c r="G21" s="123"/>
      <c r="H21" s="108"/>
      <c r="I21" s="195"/>
      <c r="J21" s="123"/>
      <c r="K21" s="174">
        <v>0.1</v>
      </c>
    </row>
    <row r="22" spans="1:11" s="4" customFormat="1" ht="25.15" customHeight="1" outlineLevel="1" x14ac:dyDescent="0.2">
      <c r="B22" s="102"/>
      <c r="C22" s="223" t="s">
        <v>26</v>
      </c>
      <c r="D22" s="224"/>
      <c r="E22" s="224"/>
      <c r="F22" s="224"/>
      <c r="G22" s="124"/>
      <c r="H22" s="109"/>
      <c r="I22" s="199"/>
      <c r="J22" s="124"/>
      <c r="K22" s="175"/>
    </row>
    <row r="23" spans="1:11" s="4" customFormat="1" ht="25.15" customHeight="1" outlineLevel="1" x14ac:dyDescent="0.2">
      <c r="B23" s="102"/>
      <c r="C23" s="223" t="s">
        <v>23</v>
      </c>
      <c r="D23" s="224"/>
      <c r="E23" s="224"/>
      <c r="F23" s="224"/>
      <c r="G23" s="124"/>
      <c r="H23" s="109"/>
      <c r="I23" s="196"/>
      <c r="J23" s="124"/>
      <c r="K23" s="175"/>
    </row>
    <row r="24" spans="1:11" s="4" customFormat="1" ht="25.15" customHeight="1" outlineLevel="1" x14ac:dyDescent="0.2">
      <c r="B24" s="102"/>
      <c r="C24" s="223" t="s">
        <v>77</v>
      </c>
      <c r="D24" s="224"/>
      <c r="E24" s="224"/>
      <c r="F24" s="224"/>
      <c r="G24" s="124"/>
      <c r="H24" s="109"/>
      <c r="I24" s="196"/>
      <c r="J24" s="124"/>
      <c r="K24" s="175"/>
    </row>
    <row r="25" spans="1:11" s="4" customFormat="1" ht="25.15" customHeight="1" outlineLevel="1" thickBot="1" x14ac:dyDescent="0.25">
      <c r="B25" s="134"/>
      <c r="C25" s="234" t="s">
        <v>56</v>
      </c>
      <c r="D25" s="274"/>
      <c r="E25" s="274"/>
      <c r="F25" s="274"/>
      <c r="G25" s="132"/>
      <c r="H25" s="133"/>
      <c r="I25" s="198"/>
      <c r="J25" s="132"/>
      <c r="K25" s="175"/>
    </row>
    <row r="26" spans="1:11" s="41" customFormat="1" ht="16.149999999999999" customHeight="1" thickBot="1" x14ac:dyDescent="0.25">
      <c r="B26" s="63" t="s">
        <v>116</v>
      </c>
      <c r="C26" s="229" t="s">
        <v>179</v>
      </c>
      <c r="D26" s="229"/>
      <c r="E26" s="229"/>
      <c r="F26" s="229"/>
      <c r="G26" s="163" t="str">
        <f>IF(EXACT(E1,"Załącznik do Umowy"),"",IF(AND(NOT(EXACT($J$3,"Lokal mieszkalny")),EXACT($H$4,"Budowa"),$F$4&gt;0,NOT(ISBLANK($F$6)),NOT(ISBLANK($J$7)),Wyliczenia!AC36&gt;0),CONCATENATE("Przeciętne koszty wykonania stanu surowego wynoszą"," ",Wyliczenia!R36,"zł"),""))</f>
        <v/>
      </c>
      <c r="H26" s="164" t="str">
        <f>IF(Wyliczenia!AC36&gt;0,Wyliczenia!AG36,"")</f>
        <v/>
      </c>
      <c r="I26" s="164" t="str">
        <f>IF(Wyliczenia!AE36&gt;0,Wyliczenia!AH36,"")</f>
        <v/>
      </c>
      <c r="J26" s="182" t="str">
        <f>IF(Wyliczenia!AC36&gt;0,Wyliczenia!AF36,"")</f>
        <v/>
      </c>
      <c r="K26" s="177" t="str">
        <f>IF(AND(NOT(EXACT($J$3,"Lokal mieszkalny")),EXACT(LEFT($H$4,6),"Budowa"),$F$4&gt;0,NOT(ISBLANK($F$6)),NOT(ISBLANK($J$7)),Wyliczenia!AC36&gt;0),Wyliczenia!AJ36,"")</f>
        <v/>
      </c>
    </row>
    <row r="27" spans="1:11" s="4" customFormat="1" ht="25.15" customHeight="1" outlineLevel="1" x14ac:dyDescent="0.2">
      <c r="B27" s="99"/>
      <c r="C27" s="230" t="s">
        <v>15</v>
      </c>
      <c r="D27" s="231"/>
      <c r="E27" s="231"/>
      <c r="F27" s="231"/>
      <c r="G27" s="120"/>
      <c r="H27" s="108"/>
      <c r="I27" s="195"/>
      <c r="J27" s="123"/>
      <c r="K27" s="175"/>
    </row>
    <row r="28" spans="1:11" s="4" customFormat="1" ht="25.15" customHeight="1" outlineLevel="1" x14ac:dyDescent="0.2">
      <c r="B28" s="100"/>
      <c r="C28" s="223" t="s">
        <v>51</v>
      </c>
      <c r="D28" s="224"/>
      <c r="E28" s="224"/>
      <c r="F28" s="224"/>
      <c r="G28" s="124"/>
      <c r="H28" s="109"/>
      <c r="I28" s="196"/>
      <c r="J28" s="124"/>
      <c r="K28" s="175">
        <v>0.79</v>
      </c>
    </row>
    <row r="29" spans="1:11" s="4" customFormat="1" ht="25.15" customHeight="1" outlineLevel="1" x14ac:dyDescent="0.2">
      <c r="B29" s="100"/>
      <c r="C29" s="223" t="s">
        <v>50</v>
      </c>
      <c r="D29" s="224"/>
      <c r="E29" s="224"/>
      <c r="F29" s="224"/>
      <c r="G29" s="121"/>
      <c r="H29" s="109"/>
      <c r="I29" s="196"/>
      <c r="J29" s="124"/>
      <c r="K29" s="175"/>
    </row>
    <row r="30" spans="1:11" s="4" customFormat="1" ht="25.15" customHeight="1" outlineLevel="1" x14ac:dyDescent="0.2">
      <c r="B30" s="100"/>
      <c r="C30" s="223" t="s">
        <v>70</v>
      </c>
      <c r="D30" s="224"/>
      <c r="E30" s="224"/>
      <c r="F30" s="224"/>
      <c r="G30" s="121"/>
      <c r="H30" s="109"/>
      <c r="I30" s="196"/>
      <c r="J30" s="124"/>
      <c r="K30" s="175"/>
    </row>
    <row r="31" spans="1:11" s="4" customFormat="1" ht="25.15" customHeight="1" outlineLevel="1" thickBot="1" x14ac:dyDescent="0.25">
      <c r="B31" s="135"/>
      <c r="C31" s="221" t="s">
        <v>56</v>
      </c>
      <c r="D31" s="222"/>
      <c r="E31" s="222"/>
      <c r="F31" s="222"/>
      <c r="G31" s="132"/>
      <c r="H31" s="133"/>
      <c r="I31" s="198"/>
      <c r="J31" s="132"/>
      <c r="K31" s="175"/>
    </row>
    <row r="32" spans="1:11" s="41" customFormat="1" ht="16.149999999999999" customHeight="1" thickBot="1" x14ac:dyDescent="0.25">
      <c r="B32" s="63" t="s">
        <v>116</v>
      </c>
      <c r="C32" s="229" t="s">
        <v>180</v>
      </c>
      <c r="D32" s="229"/>
      <c r="E32" s="229"/>
      <c r="F32" s="229"/>
      <c r="G32" s="163" t="str">
        <f>IF(EXACT(E1,"Załącznik do Umowy"),"",IF(AND(NOT(EXACT($J$3,"Lokal mieszkalny")),EXACT(LEFT($H$4,6),"Budowa"),$F$4&gt;0,NOT(ISBLANK($F$6)),NOT(ISBLANK($J$7)),Wyliczenia!AC42&gt;0),CONCATENATE("Przeciętne koszty wykonania stanu deweloperskiego"," ",Wyliczenia!R42,"zł"),""))</f>
        <v/>
      </c>
      <c r="H32" s="164" t="str">
        <f>IF(Wyliczenia!AC42&gt;0,Wyliczenia!AG42,"")</f>
        <v/>
      </c>
      <c r="I32" s="164" t="str">
        <f>IF(Wyliczenia!AE42&gt;0,Wyliczenia!AH42,"")</f>
        <v/>
      </c>
      <c r="J32" s="182" t="str">
        <f>IF(Wyliczenia!AC42&gt;0,Wyliczenia!AF42,"")</f>
        <v/>
      </c>
      <c r="K32" s="177" t="str">
        <f>IF(AND(NOT(EXACT($J$3,"Lokal mieszkalny")),EXACT(LEFT($H$4,6),"Budowa"),$F$4&gt;0,NOT(ISBLANK($F$6)),NOT(ISBLANK($J$7)),Wyliczenia!AC42&gt;0),Wyliczenia!AJ42,"")</f>
        <v/>
      </c>
    </row>
    <row r="33" spans="2:11" s="4" customFormat="1" ht="25.15" customHeight="1" outlineLevel="1" x14ac:dyDescent="0.2">
      <c r="B33" s="99"/>
      <c r="C33" s="230" t="s">
        <v>53</v>
      </c>
      <c r="D33" s="231"/>
      <c r="E33" s="231"/>
      <c r="F33" s="269"/>
      <c r="G33" s="120"/>
      <c r="H33" s="108"/>
      <c r="I33" s="200"/>
      <c r="J33" s="123"/>
      <c r="K33" s="175"/>
    </row>
    <row r="34" spans="2:11" s="4" customFormat="1" ht="25.15" customHeight="1" outlineLevel="1" x14ac:dyDescent="0.2">
      <c r="B34" s="100"/>
      <c r="C34" s="223" t="s">
        <v>174</v>
      </c>
      <c r="D34" s="224"/>
      <c r="E34" s="224"/>
      <c r="F34" s="225"/>
      <c r="G34" s="121"/>
      <c r="H34" s="109"/>
      <c r="I34" s="196"/>
      <c r="J34" s="124"/>
      <c r="K34" s="175"/>
    </row>
    <row r="35" spans="2:11" s="4" customFormat="1" ht="25.15" customHeight="1" outlineLevel="1" x14ac:dyDescent="0.2">
      <c r="B35" s="100"/>
      <c r="C35" s="223" t="s">
        <v>3</v>
      </c>
      <c r="D35" s="224"/>
      <c r="E35" s="224"/>
      <c r="F35" s="225"/>
      <c r="G35" s="121"/>
      <c r="H35" s="109"/>
      <c r="I35" s="195"/>
      <c r="J35" s="124"/>
      <c r="K35" s="175"/>
    </row>
    <row r="36" spans="2:11" s="4" customFormat="1" ht="25.15" customHeight="1" outlineLevel="1" x14ac:dyDescent="0.2">
      <c r="B36" s="100"/>
      <c r="C36" s="223" t="s">
        <v>175</v>
      </c>
      <c r="D36" s="224"/>
      <c r="E36" s="224"/>
      <c r="F36" s="225"/>
      <c r="G36" s="121"/>
      <c r="H36" s="109"/>
      <c r="I36" s="195"/>
      <c r="J36" s="124"/>
      <c r="K36" s="175"/>
    </row>
    <row r="37" spans="2:11" s="4" customFormat="1" ht="25.15" customHeight="1" outlineLevel="1" x14ac:dyDescent="0.2">
      <c r="B37" s="100"/>
      <c r="C37" s="223" t="s">
        <v>14</v>
      </c>
      <c r="D37" s="224"/>
      <c r="E37" s="224"/>
      <c r="F37" s="225"/>
      <c r="G37" s="121"/>
      <c r="H37" s="109"/>
      <c r="I37" s="195"/>
      <c r="J37" s="124"/>
      <c r="K37" s="175"/>
    </row>
    <row r="38" spans="2:11" s="4" customFormat="1" ht="25.15" customHeight="1" outlineLevel="1" x14ac:dyDescent="0.2">
      <c r="B38" s="100"/>
      <c r="C38" s="270" t="s">
        <v>63</v>
      </c>
      <c r="D38" s="271"/>
      <c r="E38" s="271"/>
      <c r="F38" s="272"/>
      <c r="G38" s="122"/>
      <c r="H38" s="110"/>
      <c r="I38" s="195"/>
      <c r="J38" s="132"/>
      <c r="K38" s="175"/>
    </row>
    <row r="39" spans="2:11" s="4" customFormat="1" ht="25.15" customHeight="1" outlineLevel="1" x14ac:dyDescent="0.2">
      <c r="B39" s="100"/>
      <c r="C39" s="223" t="s">
        <v>54</v>
      </c>
      <c r="D39" s="224"/>
      <c r="E39" s="224"/>
      <c r="F39" s="224"/>
      <c r="G39" s="121"/>
      <c r="H39" s="109"/>
      <c r="I39" s="196"/>
      <c r="J39" s="124"/>
      <c r="K39" s="178"/>
    </row>
    <row r="40" spans="2:11" s="4" customFormat="1" ht="25.15" customHeight="1" outlineLevel="1" thickBot="1" x14ac:dyDescent="0.25">
      <c r="B40" s="134"/>
      <c r="C40" s="221" t="s">
        <v>56</v>
      </c>
      <c r="D40" s="222"/>
      <c r="E40" s="222"/>
      <c r="F40" s="222"/>
      <c r="G40" s="132"/>
      <c r="H40" s="133"/>
      <c r="I40" s="198"/>
      <c r="J40" s="132"/>
      <c r="K40" s="175"/>
    </row>
    <row r="41" spans="2:11" s="41" customFormat="1" ht="16.149999999999999" customHeight="1" thickBot="1" x14ac:dyDescent="0.25">
      <c r="B41" s="63" t="s">
        <v>116</v>
      </c>
      <c r="C41" s="229" t="s">
        <v>181</v>
      </c>
      <c r="D41" s="229"/>
      <c r="E41" s="229"/>
      <c r="F41" s="229"/>
      <c r="G41" s="163" t="str">
        <f>IF(EXACT(E1,"Załącznik do Umowy"),"",IF(AND(NOT(EXACT($J$3,"Lokal mieszkalny")),EXACT(LEFT($H$4,6),"Budowa"),$F$4&gt;0,NOT(ISBLANK($F$6)),NOT(ISBLANK($J$7)),Wyliczenia!AC51&gt;0),CONCATENATE("Przeciętne koszty wykonania instalacji wynoszą"," ",Wyliczenia!R51,"zł"),""))</f>
        <v/>
      </c>
      <c r="H41" s="164" t="str">
        <f>IF(Wyliczenia!AC51&gt;0,Wyliczenia!AG51,"")</f>
        <v/>
      </c>
      <c r="I41" s="164" t="str">
        <f>IF(Wyliczenia!AE51&gt;0,Wyliczenia!AH51,"")</f>
        <v/>
      </c>
      <c r="J41" s="182" t="str">
        <f>IF(Wyliczenia!AC51&gt;0,Wyliczenia!AF51,"")</f>
        <v/>
      </c>
      <c r="K41" s="177" t="str">
        <f>IF(AND(NOT(EXACT($J$3,"Lokal mieszkalny")),EXACT(LEFT($H$4,6),"Budowa"),$F$4&gt;0,NOT(ISBLANK($F$6)),NOT(ISBLANK($J$7)),Wyliczenia!AC51&gt;0),Wyliczenia!AJ51,"")</f>
        <v/>
      </c>
    </row>
    <row r="42" spans="2:11" s="4" customFormat="1" ht="25.15" customHeight="1" outlineLevel="1" collapsed="1" x14ac:dyDescent="0.2">
      <c r="B42" s="99"/>
      <c r="C42" s="230" t="s">
        <v>40</v>
      </c>
      <c r="D42" s="231"/>
      <c r="E42" s="231"/>
      <c r="F42" s="269"/>
      <c r="G42" s="123"/>
      <c r="H42" s="108"/>
      <c r="I42" s="195"/>
      <c r="J42" s="123"/>
      <c r="K42" s="175"/>
    </row>
    <row r="43" spans="2:11" s="4" customFormat="1" ht="25.15" customHeight="1" outlineLevel="1" x14ac:dyDescent="0.2">
      <c r="B43" s="100"/>
      <c r="C43" s="223" t="s">
        <v>4</v>
      </c>
      <c r="D43" s="224"/>
      <c r="E43" s="224"/>
      <c r="F43" s="225"/>
      <c r="G43" s="124"/>
      <c r="H43" s="108"/>
      <c r="I43" s="196"/>
      <c r="J43" s="124"/>
      <c r="K43" s="175"/>
    </row>
    <row r="44" spans="2:11" s="4" customFormat="1" ht="25.15" customHeight="1" outlineLevel="1" x14ac:dyDescent="0.2">
      <c r="B44" s="100"/>
      <c r="C44" s="223" t="s">
        <v>25</v>
      </c>
      <c r="D44" s="224"/>
      <c r="E44" s="224"/>
      <c r="F44" s="225"/>
      <c r="G44" s="121"/>
      <c r="H44" s="108"/>
      <c r="I44" s="196"/>
      <c r="J44" s="121"/>
      <c r="K44" s="175"/>
    </row>
    <row r="45" spans="2:11" s="4" customFormat="1" ht="25.15" customHeight="1" outlineLevel="1" x14ac:dyDescent="0.2">
      <c r="B45" s="129"/>
      <c r="C45" s="218" t="s">
        <v>2</v>
      </c>
      <c r="D45" s="219"/>
      <c r="E45" s="219"/>
      <c r="F45" s="220"/>
      <c r="G45" s="124"/>
      <c r="H45" s="136"/>
      <c r="I45" s="197"/>
      <c r="J45" s="124"/>
      <c r="K45" s="175"/>
    </row>
    <row r="46" spans="2:11" s="4" customFormat="1" ht="25.15" customHeight="1" outlineLevel="1" x14ac:dyDescent="0.2">
      <c r="B46" s="129"/>
      <c r="C46" s="217" t="s">
        <v>67</v>
      </c>
      <c r="D46" s="217"/>
      <c r="E46" s="217"/>
      <c r="F46" s="217"/>
      <c r="G46" s="124"/>
      <c r="H46" s="130"/>
      <c r="I46" s="197"/>
      <c r="J46" s="124"/>
      <c r="K46" s="175"/>
    </row>
    <row r="47" spans="2:11" s="4" customFormat="1" ht="25.15" customHeight="1" outlineLevel="1" x14ac:dyDescent="0.2">
      <c r="B47" s="129"/>
      <c r="C47" s="218" t="s">
        <v>113</v>
      </c>
      <c r="D47" s="219"/>
      <c r="E47" s="219"/>
      <c r="F47" s="220"/>
      <c r="G47" s="124"/>
      <c r="H47" s="130"/>
      <c r="I47" s="197"/>
      <c r="J47" s="124"/>
      <c r="K47" s="175"/>
    </row>
    <row r="48" spans="2:11" s="4" customFormat="1" ht="25.15" customHeight="1" outlineLevel="1" thickBot="1" x14ac:dyDescent="0.25">
      <c r="B48" s="134"/>
      <c r="C48" s="221" t="s">
        <v>113</v>
      </c>
      <c r="D48" s="222"/>
      <c r="E48" s="222"/>
      <c r="F48" s="226"/>
      <c r="G48" s="132"/>
      <c r="H48" s="133"/>
      <c r="I48" s="198"/>
      <c r="J48" s="132"/>
      <c r="K48" s="175"/>
    </row>
    <row r="49" spans="2:21" s="41" customFormat="1" ht="16.149999999999999" customHeight="1" thickBot="1" x14ac:dyDescent="0.25">
      <c r="B49" s="63" t="s">
        <v>116</v>
      </c>
      <c r="C49" s="229" t="s">
        <v>182</v>
      </c>
      <c r="D49" s="229"/>
      <c r="E49" s="229"/>
      <c r="F49" s="229"/>
      <c r="G49" s="163" t="str">
        <f>IF(EXACT(E1,"Załącznik do Umowy"),"",IF(AND(NOT(EXACT($J$3,"Lokal mieszkalny")),OR(EXACT(LEFT($H$4,6),"Budowa"),EXACT($H$4,"Prace wykończeniowe")),$F$4&gt;0,NOT(ISBLANK($F$6)),NOT(ISBLANK($J$7)),Wyliczenia!AC59&gt;0),CONCATENATE("Przeciętne koszty wykończenia wynoszą"," ",Wyliczenia!R59,"zł"),""))</f>
        <v/>
      </c>
      <c r="H49" s="164" t="str">
        <f>IF(Wyliczenia!AC59&gt;0,Wyliczenia!AG59,"")</f>
        <v/>
      </c>
      <c r="I49" s="164" t="str">
        <f>IF(Wyliczenia!AE59&gt;0,Wyliczenia!AH59,"")</f>
        <v/>
      </c>
      <c r="J49" s="182" t="str">
        <f>IF(Wyliczenia!AC59&gt;0,Wyliczenia!AF59,"")</f>
        <v/>
      </c>
      <c r="K49" s="179" t="str">
        <f>IF(AND(NOT(EXACT($J$3,"Lokal mieszkalny")),OR(EXACT(LEFT($H$4,6),"Budowa"),EXACT($H$4,"Prace wykończeniowe")),$F$4&gt;0,NOT(ISBLANK($F$6)),NOT(ISBLANK($J$7)),Wyliczenia!AC59&gt;0),Wyliczenia!AJ59,IF(AND(EXACT($J$3,"Lokal mieszkalny"),EXACT($H$4,"Prace wykończeniowe"),NOT(EXACT($F$7,"Deweloperski")),$F$4&gt;0,NOT(ISBLANK($G$5)),NOT(ISBLANK($F$7))),(Wyliczenia!AC59-_xlfn.IFNA(HLOOKUP(F7,Wyliczenia!R1:U7,7,FALSE),Wyliczenia!S7))/_xlfn.IFNA(HLOOKUP(F7,Wyliczenia!R1:U7,7,FALSE),Wyliczenia!S7),""))</f>
        <v/>
      </c>
    </row>
    <row r="50" spans="2:21" s="4" customFormat="1" ht="25.15" customHeight="1" outlineLevel="1" x14ac:dyDescent="0.2">
      <c r="B50" s="99"/>
      <c r="C50" s="230" t="s">
        <v>44</v>
      </c>
      <c r="D50" s="231"/>
      <c r="E50" s="231"/>
      <c r="F50" s="231"/>
      <c r="G50" s="120"/>
      <c r="H50" s="111"/>
      <c r="I50" s="195"/>
      <c r="J50" s="183"/>
      <c r="K50" s="175"/>
    </row>
    <row r="51" spans="2:21" s="4" customFormat="1" ht="25.15" customHeight="1" outlineLevel="1" x14ac:dyDescent="0.2">
      <c r="B51" s="100"/>
      <c r="C51" s="223" t="s">
        <v>55</v>
      </c>
      <c r="D51" s="224"/>
      <c r="E51" s="224"/>
      <c r="F51" s="224"/>
      <c r="G51" s="121"/>
      <c r="H51" s="112"/>
      <c r="I51" s="196"/>
      <c r="J51" s="184"/>
      <c r="K51" s="175"/>
    </row>
    <row r="52" spans="2:21" s="4" customFormat="1" ht="25.15" customHeight="1" outlineLevel="1" x14ac:dyDescent="0.2">
      <c r="B52" s="100"/>
      <c r="C52" s="223" t="s">
        <v>133</v>
      </c>
      <c r="D52" s="224" t="s">
        <v>45</v>
      </c>
      <c r="E52" s="224" t="s">
        <v>45</v>
      </c>
      <c r="F52" s="224" t="s">
        <v>45</v>
      </c>
      <c r="G52" s="125"/>
      <c r="H52" s="112"/>
      <c r="I52" s="196"/>
      <c r="J52" s="184"/>
      <c r="K52" s="175"/>
    </row>
    <row r="53" spans="2:21" s="4" customFormat="1" ht="25.15" customHeight="1" outlineLevel="1" x14ac:dyDescent="0.2">
      <c r="B53" s="100"/>
      <c r="C53" s="223" t="s">
        <v>64</v>
      </c>
      <c r="D53" s="224" t="s">
        <v>46</v>
      </c>
      <c r="E53" s="224" t="s">
        <v>46</v>
      </c>
      <c r="F53" s="224" t="s">
        <v>46</v>
      </c>
      <c r="G53" s="125"/>
      <c r="H53" s="112"/>
      <c r="I53" s="196"/>
      <c r="J53" s="184"/>
      <c r="K53" s="175"/>
    </row>
    <row r="54" spans="2:21" s="4" customFormat="1" ht="25.15" customHeight="1" outlineLevel="1" x14ac:dyDescent="0.2">
      <c r="B54" s="100"/>
      <c r="C54" s="223" t="s">
        <v>134</v>
      </c>
      <c r="D54" s="224" t="s">
        <v>47</v>
      </c>
      <c r="E54" s="224" t="s">
        <v>47</v>
      </c>
      <c r="F54" s="224" t="s">
        <v>47</v>
      </c>
      <c r="G54" s="121"/>
      <c r="H54" s="112"/>
      <c r="I54" s="196"/>
      <c r="J54" s="184"/>
      <c r="K54" s="175"/>
    </row>
    <row r="55" spans="2:21" s="4" customFormat="1" ht="25.15" customHeight="1" outlineLevel="1" x14ac:dyDescent="0.2">
      <c r="B55" s="100"/>
      <c r="C55" s="223" t="s">
        <v>48</v>
      </c>
      <c r="D55" s="224" t="s">
        <v>48</v>
      </c>
      <c r="E55" s="224" t="s">
        <v>48</v>
      </c>
      <c r="F55" s="224" t="s">
        <v>48</v>
      </c>
      <c r="G55" s="121"/>
      <c r="H55" s="112"/>
      <c r="I55" s="196"/>
      <c r="J55" s="184"/>
      <c r="K55" s="175"/>
    </row>
    <row r="56" spans="2:21" s="4" customFormat="1" ht="25.15" customHeight="1" outlineLevel="1" thickBot="1" x14ac:dyDescent="0.25">
      <c r="B56" s="134"/>
      <c r="C56" s="221" t="s">
        <v>49</v>
      </c>
      <c r="D56" s="222" t="s">
        <v>49</v>
      </c>
      <c r="E56" s="222" t="s">
        <v>49</v>
      </c>
      <c r="F56" s="222" t="s">
        <v>49</v>
      </c>
      <c r="G56" s="132"/>
      <c r="H56" s="137"/>
      <c r="I56" s="198"/>
      <c r="J56" s="185"/>
      <c r="K56" s="175"/>
    </row>
    <row r="57" spans="2:21" s="41" customFormat="1" ht="16.149999999999999" customHeight="1" thickBot="1" x14ac:dyDescent="0.25">
      <c r="B57" s="63" t="s">
        <v>116</v>
      </c>
      <c r="C57" s="229" t="s">
        <v>183</v>
      </c>
      <c r="D57" s="229"/>
      <c r="E57" s="229"/>
      <c r="F57" s="229"/>
      <c r="G57" s="163" t="str">
        <f>IF(EXACT(E1,"Załącznik do Umowy"),"",IF(AND(NOT(EXACT($J$3,"Lokal mieszkalny")),EXACT(LEFT($H$4,6),"Budowa"),$F$4&gt;0,NOT(ISBLANK($F$6)),NOT(ISBLANK($J$7)),Wyliczenia!AC67&gt;0),CONCATENATE("Przeciętne koszty zagospodarowania terenu wynoszą"," ",IF(Wyliczenia!AC67&gt;Wyliczenia!R67,Wyliczenia!R67,Wyliczenia!AC67),"zł"),""))</f>
        <v/>
      </c>
      <c r="H57" s="164" t="str">
        <f>IF(Wyliczenia!AC67&gt;0,Wyliczenia!AG67,"")</f>
        <v/>
      </c>
      <c r="I57" s="164" t="str">
        <f>IF(Wyliczenia!AE67&gt;0,Wyliczenia!AH67,"")</f>
        <v/>
      </c>
      <c r="J57" s="182" t="str">
        <f>IF(Wyliczenia!AC67&gt;0,Wyliczenia!AF67,"")</f>
        <v/>
      </c>
      <c r="K57" s="177" t="str">
        <f>IF(AND(NOT(EXACT($J$3,"Lokal mieszkalny")),EXACT(LEFT($H$4,6),"Budowa"),$F$4&gt;0,NOT(ISBLANK($F$6)),NOT(ISBLANK($J$7)),Wyliczenia!AC67&gt;0),Wyliczenia!AJ67,"")</f>
        <v/>
      </c>
    </row>
    <row r="58" spans="2:21" s="4" customFormat="1" ht="25.15" customHeight="1" outlineLevel="1" x14ac:dyDescent="0.2">
      <c r="B58" s="138"/>
      <c r="C58" s="264" t="s">
        <v>69</v>
      </c>
      <c r="D58" s="264"/>
      <c r="E58" s="264"/>
      <c r="F58" s="264"/>
      <c r="G58" s="123"/>
      <c r="H58" s="136"/>
      <c r="I58" s="201"/>
      <c r="J58" s="123"/>
      <c r="K58" s="175"/>
    </row>
    <row r="59" spans="2:21" s="4" customFormat="1" ht="25.15" customHeight="1" outlineLevel="1" x14ac:dyDescent="0.2">
      <c r="B59" s="129"/>
      <c r="C59" s="217" t="s">
        <v>41</v>
      </c>
      <c r="D59" s="217"/>
      <c r="E59" s="217"/>
      <c r="F59" s="217"/>
      <c r="G59" s="124"/>
      <c r="H59" s="130"/>
      <c r="I59" s="197"/>
      <c r="J59" s="124"/>
      <c r="K59" s="175"/>
    </row>
    <row r="60" spans="2:21" s="4" customFormat="1" ht="25.15" customHeight="1" outlineLevel="1" x14ac:dyDescent="0.2">
      <c r="B60" s="129"/>
      <c r="C60" s="217" t="s">
        <v>42</v>
      </c>
      <c r="D60" s="217"/>
      <c r="E60" s="217"/>
      <c r="F60" s="217"/>
      <c r="G60" s="124"/>
      <c r="H60" s="130"/>
      <c r="I60" s="197"/>
      <c r="J60" s="124"/>
      <c r="K60" s="175"/>
    </row>
    <row r="61" spans="2:21" s="4" customFormat="1" ht="25.15" customHeight="1" outlineLevel="1" x14ac:dyDescent="0.2">
      <c r="B61" s="129"/>
      <c r="C61" s="217" t="s">
        <v>132</v>
      </c>
      <c r="D61" s="217"/>
      <c r="E61" s="217"/>
      <c r="F61" s="217"/>
      <c r="G61" s="124"/>
      <c r="H61" s="130"/>
      <c r="I61" s="197"/>
      <c r="J61" s="124"/>
      <c r="K61" s="175"/>
    </row>
    <row r="62" spans="2:21" s="4" customFormat="1" ht="25.15" customHeight="1" outlineLevel="1" thickBot="1" x14ac:dyDescent="0.25">
      <c r="B62" s="134"/>
      <c r="C62" s="240" t="s">
        <v>43</v>
      </c>
      <c r="D62" s="240"/>
      <c r="E62" s="240"/>
      <c r="F62" s="240"/>
      <c r="G62" s="132"/>
      <c r="H62" s="133"/>
      <c r="I62" s="198"/>
      <c r="J62" s="132"/>
      <c r="K62" s="175"/>
    </row>
    <row r="63" spans="2:21" s="41" customFormat="1" ht="16.149999999999999" customHeight="1" thickBot="1" x14ac:dyDescent="0.25">
      <c r="B63" s="63" t="s">
        <v>116</v>
      </c>
      <c r="C63" s="229" t="s">
        <v>184</v>
      </c>
      <c r="D63" s="229"/>
      <c r="E63" s="229"/>
      <c r="F63" s="229"/>
      <c r="G63" s="163"/>
      <c r="H63" s="164" t="str">
        <f>IF(Wyliczenia!AC73&gt;0,Wyliczenia!AG73,"")</f>
        <v/>
      </c>
      <c r="I63" s="164" t="str">
        <f>IF(Wyliczenia!AE73&gt;0,Wyliczenia!AH73,"")</f>
        <v/>
      </c>
      <c r="J63" s="182" t="str">
        <f>IF(Wyliczenia!AC73&gt;0,Wyliczenia!AF73,"")</f>
        <v/>
      </c>
      <c r="K63" s="180"/>
    </row>
    <row r="64" spans="2:21" s="103" customFormat="1" ht="25.15" customHeight="1" outlineLevel="1" x14ac:dyDescent="0.2">
      <c r="B64" s="139"/>
      <c r="C64" s="235" t="s">
        <v>57</v>
      </c>
      <c r="D64" s="235"/>
      <c r="E64" s="235"/>
      <c r="F64" s="236"/>
      <c r="G64" s="140"/>
      <c r="H64" s="141"/>
      <c r="I64" s="202"/>
      <c r="J64" s="140"/>
      <c r="K64" s="181"/>
      <c r="M64" s="104"/>
      <c r="N64" s="104"/>
      <c r="O64" s="104"/>
      <c r="P64" s="104"/>
      <c r="Q64" s="104"/>
      <c r="R64" s="104"/>
      <c r="S64" s="104"/>
      <c r="T64" s="104"/>
      <c r="U64" s="104"/>
    </row>
    <row r="65" spans="2:30" s="103" customFormat="1" ht="25.15" customHeight="1" outlineLevel="1" x14ac:dyDescent="0.2">
      <c r="B65" s="142"/>
      <c r="C65" s="217" t="s">
        <v>58</v>
      </c>
      <c r="D65" s="217"/>
      <c r="E65" s="217"/>
      <c r="F65" s="218"/>
      <c r="G65" s="132"/>
      <c r="H65" s="133"/>
      <c r="I65" s="198"/>
      <c r="J65" s="132"/>
      <c r="K65" s="181"/>
      <c r="M65" s="104"/>
      <c r="N65" s="104"/>
      <c r="O65" s="104"/>
      <c r="P65" s="104"/>
      <c r="Q65" s="104"/>
      <c r="R65" s="105"/>
      <c r="S65" s="104"/>
      <c r="T65" s="106"/>
      <c r="U65" s="104"/>
    </row>
    <row r="66" spans="2:30" s="103" customFormat="1" ht="25.15" customHeight="1" outlineLevel="1" x14ac:dyDescent="0.2">
      <c r="B66" s="142"/>
      <c r="C66" s="217" t="s">
        <v>59</v>
      </c>
      <c r="D66" s="217"/>
      <c r="E66" s="217"/>
      <c r="F66" s="218"/>
      <c r="G66" s="132"/>
      <c r="H66" s="133"/>
      <c r="I66" s="198"/>
      <c r="J66" s="132"/>
      <c r="K66" s="181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</row>
    <row r="67" spans="2:30" s="103" customFormat="1" ht="25.15" customHeight="1" outlineLevel="1" x14ac:dyDescent="0.2">
      <c r="B67" s="142"/>
      <c r="C67" s="217" t="s">
        <v>60</v>
      </c>
      <c r="D67" s="217"/>
      <c r="E67" s="217"/>
      <c r="F67" s="218"/>
      <c r="G67" s="132"/>
      <c r="H67" s="133"/>
      <c r="I67" s="198"/>
      <c r="J67" s="132"/>
      <c r="K67" s="181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</row>
    <row r="68" spans="2:30" s="103" customFormat="1" ht="25.15" customHeight="1" outlineLevel="1" x14ac:dyDescent="0.2">
      <c r="B68" s="142"/>
      <c r="C68" s="217" t="s">
        <v>61</v>
      </c>
      <c r="D68" s="217"/>
      <c r="E68" s="217"/>
      <c r="F68" s="218"/>
      <c r="G68" s="132"/>
      <c r="H68" s="133"/>
      <c r="I68" s="198"/>
      <c r="J68" s="132"/>
      <c r="K68" s="181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</row>
    <row r="69" spans="2:30" s="103" customFormat="1" ht="25.15" customHeight="1" outlineLevel="1" thickBot="1" x14ac:dyDescent="0.25">
      <c r="B69" s="143"/>
      <c r="C69" s="233" t="s">
        <v>62</v>
      </c>
      <c r="D69" s="233"/>
      <c r="E69" s="233"/>
      <c r="F69" s="234"/>
      <c r="G69" s="132"/>
      <c r="H69" s="133"/>
      <c r="I69" s="198"/>
      <c r="J69" s="186"/>
      <c r="K69" s="181"/>
      <c r="M69" s="104"/>
      <c r="N69" s="107"/>
      <c r="O69" s="104"/>
      <c r="P69" s="104"/>
      <c r="Q69" s="104"/>
      <c r="R69" s="104"/>
      <c r="S69" s="104"/>
      <c r="T69" s="104"/>
      <c r="U69" s="104"/>
      <c r="V69" s="104"/>
      <c r="W69" s="104"/>
    </row>
    <row r="70" spans="2:30" ht="31.15" customHeight="1" collapsed="1" thickBot="1" x14ac:dyDescent="0.25">
      <c r="B70" s="214" t="s">
        <v>110</v>
      </c>
      <c r="C70" s="215"/>
      <c r="D70" s="215"/>
      <c r="E70" s="215"/>
      <c r="F70" s="216"/>
      <c r="G70" s="169"/>
      <c r="H70" s="118"/>
      <c r="I70" s="208" t="str">
        <f>IFERROR(CONCATENATE("Do wykonania pozostało prac za: ",Wyliczenia!AF81,"zł. 
to jest ",ROUND((Wyliczenia!AF81/Wyliczenia!AC81*100),2),"%"),"")</f>
        <v/>
      </c>
      <c r="J70" s="209"/>
      <c r="M70" s="58"/>
      <c r="N70" s="60"/>
      <c r="O70" s="61"/>
      <c r="P70" s="62"/>
      <c r="Q70" s="58"/>
      <c r="R70" s="58"/>
      <c r="S70" s="58"/>
      <c r="T70" s="59"/>
      <c r="U70" s="58"/>
      <c r="V70" s="58"/>
      <c r="W70" s="58"/>
      <c r="Y70" s="3"/>
      <c r="Z70" s="3"/>
      <c r="AD70" s="38"/>
    </row>
    <row r="71" spans="2:30" ht="15.6" customHeight="1" thickBot="1" x14ac:dyDescent="0.3">
      <c r="B71" s="5"/>
      <c r="C71" s="232"/>
      <c r="D71" s="232"/>
      <c r="E71" s="232"/>
      <c r="F71" s="232"/>
      <c r="G71" s="56" t="s">
        <v>108</v>
      </c>
      <c r="H71" s="113">
        <f>SUM(H15:H19,H21:H25,H27:H31,H33:H40,H42:H48,H50:H56,H58:H62,H64:H69)</f>
        <v>0</v>
      </c>
      <c r="I71" s="206" t="str">
        <f>IFERROR(CONCATENATE("Wykonano prace za: ",Wyliczenia!AE81,"zł tj. ",ROUND((Wyliczenia!AB81*100),2),"%"),"")</f>
        <v>Wykonano prace za: 0zł tj. 0%</v>
      </c>
      <c r="J71" s="207"/>
      <c r="M71" s="58"/>
      <c r="N71" s="60"/>
      <c r="O71" s="61"/>
      <c r="P71" s="62"/>
      <c r="Q71" s="58"/>
      <c r="R71" s="58"/>
      <c r="S71" s="58"/>
      <c r="T71" s="59"/>
      <c r="U71" s="58"/>
      <c r="V71" s="58"/>
      <c r="W71" s="58"/>
      <c r="Y71" s="3"/>
      <c r="Z71" s="3"/>
      <c r="AD71" s="38"/>
    </row>
    <row r="72" spans="2:30" ht="18.600000000000001" customHeight="1" thickBot="1" x14ac:dyDescent="0.25">
      <c r="B72" s="5"/>
      <c r="C72" s="6"/>
      <c r="D72" s="6"/>
      <c r="E72" s="6"/>
      <c r="F72" s="5"/>
      <c r="G72" s="5"/>
      <c r="H72" s="114" t="s">
        <v>109</v>
      </c>
      <c r="I72" s="144">
        <f>$H$71-$J$10</f>
        <v>0</v>
      </c>
      <c r="M72" s="58"/>
      <c r="N72" s="60"/>
      <c r="O72" s="61"/>
      <c r="P72" s="62"/>
      <c r="Q72" s="58"/>
      <c r="R72" s="58"/>
      <c r="S72" s="58"/>
      <c r="T72" s="59"/>
      <c r="U72" s="58"/>
      <c r="V72" s="58"/>
      <c r="W72" s="58"/>
      <c r="Y72" s="3"/>
      <c r="Z72" s="3"/>
      <c r="AD72" s="38"/>
    </row>
    <row r="73" spans="2:30" ht="13.5" customHeight="1" thickBot="1" x14ac:dyDescent="0.25">
      <c r="B73" s="5"/>
      <c r="C73" s="6"/>
      <c r="D73" s="6"/>
      <c r="E73" s="6"/>
      <c r="F73" s="6"/>
      <c r="G73" s="5"/>
      <c r="H73" s="5"/>
      <c r="I73" s="5"/>
      <c r="M73" s="58"/>
      <c r="N73" s="60"/>
      <c r="O73" s="61"/>
      <c r="P73" s="62"/>
      <c r="Q73" s="58"/>
      <c r="R73" s="58"/>
      <c r="S73" s="58"/>
      <c r="T73" s="59"/>
      <c r="U73" s="58"/>
      <c r="V73" s="58"/>
      <c r="W73" s="58"/>
      <c r="Y73" s="3"/>
      <c r="Z73" s="3"/>
      <c r="AD73" s="38"/>
    </row>
    <row r="74" spans="2:30" ht="13.5" customHeight="1" thickBot="1" x14ac:dyDescent="0.25">
      <c r="B74" s="5"/>
      <c r="C74" s="6"/>
      <c r="D74" s="6"/>
      <c r="E74" s="6"/>
      <c r="F74" s="6"/>
      <c r="G74" s="70" t="s">
        <v>196</v>
      </c>
      <c r="H74" s="127"/>
      <c r="I74" s="5"/>
      <c r="M74" s="58"/>
      <c r="N74" s="60"/>
      <c r="O74" s="61"/>
      <c r="P74" s="62"/>
      <c r="Q74" s="58"/>
      <c r="R74" s="58"/>
      <c r="S74" s="58"/>
      <c r="T74" s="59"/>
      <c r="U74" s="58"/>
      <c r="V74" s="58"/>
      <c r="W74" s="58"/>
      <c r="Y74" s="3"/>
      <c r="Z74" s="3"/>
      <c r="AD74" s="38"/>
    </row>
    <row r="75" spans="2:30" ht="13.5" customHeight="1" thickBot="1" x14ac:dyDescent="0.25">
      <c r="B75" s="5"/>
      <c r="C75" s="263" t="s">
        <v>164</v>
      </c>
      <c r="D75" s="263"/>
      <c r="E75" s="263"/>
      <c r="F75" s="263"/>
      <c r="G75" s="190"/>
      <c r="H75" s="191"/>
      <c r="I75" s="190"/>
      <c r="M75" s="58"/>
      <c r="N75" s="60"/>
      <c r="O75" s="61"/>
      <c r="P75" s="62"/>
      <c r="Q75" s="58"/>
      <c r="R75" s="58"/>
      <c r="S75" s="58"/>
      <c r="T75" s="59"/>
      <c r="U75" s="58"/>
      <c r="V75" s="58"/>
      <c r="W75" s="58"/>
      <c r="Y75" s="3"/>
      <c r="Z75" s="3"/>
      <c r="AD75" s="38"/>
    </row>
    <row r="76" spans="2:30" ht="44.45" customHeight="1" thickBot="1" x14ac:dyDescent="0.25">
      <c r="B76" s="5"/>
      <c r="C76" s="212" t="str">
        <f>IF(EXACT(E1,"Załącznik do Umowy"),"Transze kredytu na budowę/remont","Transze kredytu na budowę/remont proponowane przez Wnioskodawcę")</f>
        <v>Transze kredytu na budowę/remont proponowane przez Wnioskodawcę</v>
      </c>
      <c r="D76" s="213"/>
      <c r="E76" s="213"/>
      <c r="F76" s="192" t="str">
        <f>IF(EXACT(E1,"Załącznik do Umowy"),"Wymagany [%] zaawansowania prac","Proponowany [%] zaawansowania prac")</f>
        <v>Proponowany [%] zaawansowania prac</v>
      </c>
      <c r="G76" s="193" t="str">
        <f>IF(EXACT(E1,"Załącznik do Umowy"),"Wymagany wkład własny przed wypłatą transzy","Proponowany wkład własny przed wypłatą transzy")</f>
        <v>Proponowany wkład własny przed wypłatą transzy</v>
      </c>
      <c r="H76" s="193" t="str">
        <f>IF(EXACT(E1,"Załącznik do Umowy"),"Wypłata transzy do dnia", "Proponowana data wypłaty transzy")</f>
        <v>Proponowana data wypłaty transzy</v>
      </c>
      <c r="I76" s="194" t="str">
        <f>IF(EXACT(E1,"Załącznik do Umowy"),"Kwota wypłaty transzy","Proponowana kwota wypłaty transzy")</f>
        <v>Proponowana kwota wypłaty transzy</v>
      </c>
      <c r="M76" s="58"/>
      <c r="N76" s="60"/>
      <c r="O76" s="61"/>
      <c r="P76" s="62"/>
      <c r="Q76" s="58"/>
      <c r="R76" s="58"/>
      <c r="S76" s="58"/>
      <c r="T76" s="59"/>
      <c r="U76" s="58"/>
      <c r="V76" s="58"/>
      <c r="W76" s="58"/>
      <c r="Y76" s="3"/>
      <c r="Z76" s="3"/>
      <c r="AD76" s="38"/>
    </row>
    <row r="77" spans="2:30" x14ac:dyDescent="0.2">
      <c r="B77" s="5"/>
      <c r="C77" s="210" t="s">
        <v>131</v>
      </c>
      <c r="D77" s="211"/>
      <c r="E77" s="211"/>
      <c r="F77" s="10">
        <f>IFERROR(IF(ISNUMBER(I77),IF(EXACT(#REF!,"Dla generalnego wykonawcy po wykonaniu prac"),(G77+I77)/$H$71,G77/$H$71),0),"")</f>
        <v>0</v>
      </c>
      <c r="G77" s="12"/>
      <c r="H77" s="13"/>
      <c r="I77" s="14"/>
      <c r="J77" s="128"/>
      <c r="M77" s="58"/>
      <c r="N77" s="60"/>
      <c r="O77" s="61"/>
      <c r="P77" s="62"/>
      <c r="Q77" s="58"/>
      <c r="R77" s="58"/>
      <c r="S77" s="58"/>
      <c r="T77" s="59"/>
      <c r="U77" s="58"/>
      <c r="V77" s="58"/>
      <c r="W77" s="58"/>
      <c r="Y77" s="3"/>
      <c r="Z77" s="3"/>
      <c r="AD77" s="38"/>
    </row>
    <row r="78" spans="2:30" x14ac:dyDescent="0.2">
      <c r="B78" s="5"/>
      <c r="C78" s="210" t="str">
        <f>IF(ISNUMBER(I78),"2. Transza po wykonaniu","")</f>
        <v/>
      </c>
      <c r="D78" s="211"/>
      <c r="E78" s="211"/>
      <c r="F78" s="10" t="str">
        <f>IF(OR(SUM($G$77:G$78,$I$77:I77)&gt;=$H$71,NOT(ISNUMBER(I78))),"",IF(EXACT(J77,"Dla generalnego wykonawcy po wykonaniu prac"),SUM($G$77:G78,$I$77:I78)/$H$71,SUM($G$77:G78,$I$77:I77)/$H$71))</f>
        <v/>
      </c>
      <c r="G78" s="12"/>
      <c r="H78" s="13"/>
      <c r="I78" s="14"/>
      <c r="J78" s="20"/>
      <c r="M78" s="58"/>
      <c r="N78" s="60"/>
      <c r="O78" s="61"/>
      <c r="P78" s="62"/>
      <c r="Q78" s="58"/>
      <c r="R78" s="58"/>
      <c r="S78" s="58"/>
      <c r="T78" s="59"/>
      <c r="U78" s="58"/>
      <c r="V78" s="58"/>
      <c r="W78" s="58"/>
      <c r="Y78" s="3"/>
      <c r="Z78" s="3"/>
      <c r="AD78" s="38"/>
    </row>
    <row r="79" spans="2:30" x14ac:dyDescent="0.2">
      <c r="B79" s="5"/>
      <c r="C79" s="210" t="str">
        <f>IF(ISNUMBER(I79),"3. Transza po wykonaniu","")</f>
        <v/>
      </c>
      <c r="D79" s="211"/>
      <c r="E79" s="211"/>
      <c r="F79" s="10" t="str">
        <f>IF(OR(SUM($G$77:G$78,$I$77:I78)&gt;=$H$71,NOT(ISNUMBER(I79))),"",IF(EXACT(J79,"Dla generalnego wykonawcy po wykonaniu prac"),SUM($G$77:G79,$I$77:I79)/$H$71,SUM($G$77:G79,$I$77:I78)/$H$71))</f>
        <v/>
      </c>
      <c r="G79" s="12"/>
      <c r="H79" s="13"/>
      <c r="I79" s="14"/>
      <c r="J79" s="128"/>
      <c r="M79" s="58"/>
      <c r="N79" s="60"/>
      <c r="O79" s="61"/>
      <c r="P79" s="62"/>
      <c r="Q79" s="58"/>
      <c r="R79" s="58"/>
      <c r="S79" s="58"/>
      <c r="T79" s="59"/>
      <c r="U79" s="58"/>
      <c r="V79" s="58"/>
      <c r="W79" s="58"/>
      <c r="Y79" s="3"/>
      <c r="Z79" s="3"/>
      <c r="AD79" s="38"/>
    </row>
    <row r="80" spans="2:30" x14ac:dyDescent="0.2">
      <c r="B80" s="5"/>
      <c r="C80" s="210" t="str">
        <f>IF(ISNUMBER(I80),"4. Transza po wykonaniu","")</f>
        <v/>
      </c>
      <c r="D80" s="211"/>
      <c r="E80" s="211"/>
      <c r="F80" s="10" t="str">
        <f>IF(OR(SUM($G$77:G$78,$I$77:I79)&gt;=$H$71,NOT(ISNUMBER(I80))),"",IF(EXACT(J80,"Dla generalnego wykonawcy po wykonaniu prac"),SUM($G$77:G80,$I$77:I80)/$H$71,SUM($G$77:G80,$I$77:I79)/$H$71))</f>
        <v/>
      </c>
      <c r="G80" s="12"/>
      <c r="H80" s="13"/>
      <c r="I80" s="14"/>
      <c r="J80" s="128"/>
      <c r="M80" s="58"/>
      <c r="N80" s="60"/>
      <c r="O80" s="61"/>
      <c r="P80" s="62"/>
      <c r="Q80" s="58"/>
      <c r="R80" s="58"/>
      <c r="S80" s="58"/>
      <c r="T80" s="59"/>
      <c r="U80" s="58"/>
      <c r="V80" s="58"/>
      <c r="W80" s="58"/>
      <c r="Y80" s="3"/>
      <c r="Z80" s="3"/>
      <c r="AD80" s="38"/>
    </row>
    <row r="81" spans="2:30" x14ac:dyDescent="0.2">
      <c r="B81" s="5"/>
      <c r="C81" s="210" t="str">
        <f>IF(ISNUMBER(I81),"5. Transza po wykonaniu","")</f>
        <v/>
      </c>
      <c r="D81" s="211"/>
      <c r="E81" s="211"/>
      <c r="F81" s="10" t="str">
        <f>IF(OR(SUM($G$77:G$78,$I$77:I80)&gt;=$H$71,NOT(ISNUMBER(I81))),"",IF(EXACT(J81,"Dla generalnego wykonawcy po wykonaniu prac"),SUM($G$77:G81,$I$77:I81)/$H$71,SUM($G$77:G81,$I$77:I80)/$H$71))</f>
        <v/>
      </c>
      <c r="G81" s="12"/>
      <c r="H81" s="13"/>
      <c r="I81" s="14"/>
      <c r="J81" s="128"/>
      <c r="M81" s="58"/>
      <c r="N81" s="60"/>
      <c r="O81" s="61"/>
      <c r="P81" s="62"/>
      <c r="Q81" s="58"/>
      <c r="R81" s="58"/>
      <c r="S81" s="58"/>
      <c r="T81" s="59"/>
      <c r="U81" s="58"/>
      <c r="V81" s="58"/>
      <c r="W81" s="58"/>
      <c r="Y81" s="3"/>
      <c r="Z81" s="3"/>
      <c r="AD81" s="38"/>
    </row>
    <row r="82" spans="2:30" x14ac:dyDescent="0.2">
      <c r="C82" s="210" t="str">
        <f>IF(ISNUMBER(I82),"6. Transza po wykonaniu","")</f>
        <v/>
      </c>
      <c r="D82" s="211"/>
      <c r="E82" s="211"/>
      <c r="F82" s="10" t="str">
        <f>IF(OR(SUM($G$77:G$78,$I$77:I81)&gt;=$H$71,NOT(ISNUMBER(I82))),"",IF(EXACT(J82,"Dla generalnego wykonawcy po wykonaniu prac"),SUM($G$77:G82,$I$77:I82)/$H$71,SUM($G$77:G82,$I$77:I81)/$H$71))</f>
        <v/>
      </c>
      <c r="G82" s="12"/>
      <c r="H82" s="13"/>
      <c r="I82" s="14"/>
      <c r="J82" s="128"/>
      <c r="M82" s="58"/>
      <c r="N82" s="60"/>
      <c r="O82" s="61"/>
      <c r="P82" s="62"/>
      <c r="Q82" s="58"/>
      <c r="R82" s="58"/>
      <c r="S82" s="58"/>
      <c r="T82" s="59"/>
      <c r="U82" s="58"/>
      <c r="V82" s="58"/>
      <c r="W82" s="58"/>
      <c r="Y82" s="3"/>
      <c r="Z82" s="3"/>
      <c r="AD82" s="38"/>
    </row>
    <row r="83" spans="2:30" x14ac:dyDescent="0.2">
      <c r="C83" s="210" t="str">
        <f>IF(ISNUMBER(I83),"7. Transza po wykonaniu","")</f>
        <v/>
      </c>
      <c r="D83" s="211"/>
      <c r="E83" s="211"/>
      <c r="F83" s="10" t="str">
        <f>IF(OR(SUM($G$77:G$78,$I$77:I82)&gt;=$H$71,NOT(ISNUMBER(I83))),"",IF(EXACT(J83,"Dla generalnego wykonawcy po wykonaniu prac"),SUM($G$77:G83,$I$77:I83)/$H$71,SUM($G$77:G83,$I$77:I82)/$H$71))</f>
        <v/>
      </c>
      <c r="G83" s="12"/>
      <c r="H83" s="13"/>
      <c r="I83" s="14"/>
      <c r="J83" s="128"/>
      <c r="M83" s="58"/>
      <c r="N83" s="60"/>
      <c r="O83" s="61"/>
      <c r="P83" s="62"/>
      <c r="Q83" s="58"/>
      <c r="R83" s="58"/>
      <c r="S83" s="58"/>
      <c r="T83" s="59"/>
      <c r="U83" s="58"/>
      <c r="V83" s="58"/>
      <c r="W83" s="58"/>
      <c r="Y83" s="3"/>
      <c r="Z83" s="3"/>
      <c r="AD83" s="38"/>
    </row>
    <row r="84" spans="2:30" x14ac:dyDescent="0.2">
      <c r="C84" s="210" t="str">
        <f>IF(ISNUMBER(I84),"8. Transza po wykonaniu","")</f>
        <v/>
      </c>
      <c r="D84" s="211"/>
      <c r="E84" s="211"/>
      <c r="F84" s="10" t="str">
        <f>IF(OR(SUM($G$77:G$78,$I$77:I83)&gt;=$H$71,NOT(ISNUMBER(I84))),"",IF(EXACT(J84,"Dla generalnego wykonawcy po wykonaniu prac"),SUM($G$77:G84,$I$77:I84)/$H$71,SUM($G$77:G84,$I$77:I83)/$H$71))</f>
        <v/>
      </c>
      <c r="G84" s="12"/>
      <c r="H84" s="13"/>
      <c r="I84" s="14"/>
      <c r="J84" s="128"/>
      <c r="M84" s="58"/>
      <c r="N84" s="60"/>
      <c r="O84" s="61"/>
      <c r="P84" s="62"/>
      <c r="Q84" s="58"/>
      <c r="R84" s="58"/>
      <c r="S84" s="58"/>
      <c r="T84" s="59"/>
      <c r="U84" s="58"/>
      <c r="V84" s="58"/>
      <c r="W84" s="58"/>
      <c r="Y84" s="3"/>
      <c r="Z84" s="3"/>
      <c r="AD84" s="38"/>
    </row>
    <row r="85" spans="2:30" x14ac:dyDescent="0.2">
      <c r="C85" s="210" t="str">
        <f>IF(ISNUMBER(I85),"9. Transza po wykonaniu","")</f>
        <v/>
      </c>
      <c r="D85" s="211"/>
      <c r="E85" s="211"/>
      <c r="F85" s="10" t="str">
        <f>IF(OR(SUM($G$77:G$78,$I$77:I84)&gt;=$H$71,NOT(ISNUMBER(I85))),"",IF(EXACT(J85,"Dla generalnego wykonawcy po wykonaniu prac"),SUM($G$77:G85,$I$77:I85)/$H$71,SUM($G$77:G85,$I$77:I84)/$H$71))</f>
        <v/>
      </c>
      <c r="G85" s="12"/>
      <c r="H85" s="15"/>
      <c r="I85" s="14"/>
      <c r="J85" s="128"/>
      <c r="M85" s="58"/>
      <c r="N85" s="58"/>
      <c r="O85" s="58"/>
      <c r="P85" s="59"/>
      <c r="Q85" s="58"/>
      <c r="R85" s="58"/>
      <c r="S85" s="58"/>
      <c r="T85" s="58"/>
      <c r="U85" s="58"/>
      <c r="V85" s="58"/>
      <c r="W85" s="58"/>
    </row>
    <row r="86" spans="2:30" x14ac:dyDescent="0.2">
      <c r="B86" s="7"/>
      <c r="C86" s="210" t="str">
        <f>IF(ISNUMBER(I86),"10. Transza po wykonaniu","")</f>
        <v/>
      </c>
      <c r="D86" s="211"/>
      <c r="E86" s="211"/>
      <c r="F86" s="10" t="str">
        <f>IF(OR(SUM($G$77:G$78,$I$77:I85)&gt;=$H$71,NOT(ISNUMBER(I86))),"",IF(EXACT(J86,"Dla generalnego wykonawcy po wykonaniu prac"),SUM($G$77:G86,$I$77:I86)/$H$71,SUM($G$77:G86,$I$77:I85)/$H$71))</f>
        <v/>
      </c>
      <c r="G86" s="12"/>
      <c r="H86" s="15"/>
      <c r="I86" s="14"/>
      <c r="J86" s="128"/>
    </row>
    <row r="87" spans="2:30" x14ac:dyDescent="0.2">
      <c r="B87" s="7"/>
      <c r="C87" s="210" t="str">
        <f>IF(ISNUMBER(I87),"11. Transza po wykonaniu","")</f>
        <v/>
      </c>
      <c r="D87" s="211"/>
      <c r="E87" s="211"/>
      <c r="F87" s="10" t="str">
        <f>IF(OR(SUM($G$77:G$78,$I$77:I86)&gt;=$H$71,NOT(ISNUMBER(I87))),"",IF(EXACT(J87,"Dla generalnego wykonawcy po wykonaniu prac"),SUM($G$77:G87,$I$77:I87)/$H$71,SUM($G$77:G87,$I$77:I86)/$H$71))</f>
        <v/>
      </c>
      <c r="G87" s="12"/>
      <c r="H87" s="15"/>
      <c r="I87" s="14"/>
      <c r="J87" s="128"/>
    </row>
    <row r="88" spans="2:30" x14ac:dyDescent="0.2">
      <c r="C88" s="210" t="str">
        <f>IF(ISNUMBER(I88),"12. Transza po wykonaniu","")</f>
        <v/>
      </c>
      <c r="D88" s="211"/>
      <c r="E88" s="211"/>
      <c r="F88" s="10" t="str">
        <f>IF(OR(SUM($G$77:G$78,$I$77:I87)&gt;=$H$71,NOT(ISNUMBER(I88))),"",IF(EXACT(J88,"Dla generalnego wykonawcy po wykonaniu prac"),SUM($G$77:G88,$I$77:I88)/$H$71,SUM($G$77:G88,$I$77:I87)/$H$71))</f>
        <v/>
      </c>
      <c r="G88" s="12"/>
      <c r="H88" s="16"/>
      <c r="I88" s="14"/>
      <c r="J88" s="128"/>
    </row>
    <row r="89" spans="2:30" x14ac:dyDescent="0.2">
      <c r="C89" s="210" t="str">
        <f>IF(ISNUMBER(I89),"13. Transza po wykonaniu","")</f>
        <v/>
      </c>
      <c r="D89" s="211"/>
      <c r="E89" s="211"/>
      <c r="F89" s="10" t="str">
        <f>IF(OR(SUM($G$77:G$78,$I$77:I88)&gt;=$H$71,NOT(ISNUMBER(I89))),"",IF(EXACT(J89,"Dla generalnego wykonawcy po wykonaniu prac"),SUM($G$77:G89,$I$77:I89)/$H$71,SUM($G$77:G89,$I$77:I88)/$H$71))</f>
        <v/>
      </c>
      <c r="G89" s="12"/>
      <c r="H89" s="15"/>
      <c r="I89" s="14"/>
      <c r="J89" s="128"/>
    </row>
    <row r="90" spans="2:30" x14ac:dyDescent="0.2">
      <c r="C90" s="210" t="str">
        <f>IF(ISNUMBER(I90),"14. Transza po wykonaniu","")</f>
        <v/>
      </c>
      <c r="D90" s="211"/>
      <c r="E90" s="211"/>
      <c r="F90" s="10" t="str">
        <f>IF(OR(SUM($G$77:G$78,$I$77:I89)&gt;=$H$71,NOT(ISNUMBER(I90))),"",IF(EXACT(J90,"Dla generalnego wykonawcy po wykonaniu prac"),SUM($G$77:G90,$I$77:I90)/$H$71,SUM($G$77:G90,$I$77:I89)/$H$71))</f>
        <v/>
      </c>
      <c r="G90" s="12"/>
      <c r="H90" s="15"/>
      <c r="I90" s="14"/>
      <c r="J90" s="128"/>
    </row>
    <row r="91" spans="2:30" ht="15" thickBot="1" x14ac:dyDescent="0.25">
      <c r="C91" s="227" t="str">
        <f>IF(ISNUMBER(I91),"15. Transza po wykonaniu","")</f>
        <v/>
      </c>
      <c r="D91" s="228"/>
      <c r="E91" s="228"/>
      <c r="F91" s="11" t="str">
        <f>IF(OR(SUM($G$77:G$78,$I$77:I90)&gt;=$H$71,NOT(ISNUMBER(I91))),"",IF(EXACT(J91,"Dla generalnego wykonawcy po wykonaniu prac"),SUM($G$77:G91,$I$77:I91)/$H$71,SUM($G$77:G91,$I$77:I90)/$H$71))</f>
        <v/>
      </c>
      <c r="G91" s="17"/>
      <c r="H91" s="18"/>
      <c r="I91" s="19"/>
      <c r="J91" s="128"/>
    </row>
    <row r="92" spans="2:30" x14ac:dyDescent="0.2">
      <c r="G92" s="1" t="str">
        <f>IF(SUM(G77:G91)=$I$72,CONCATENATE("Wkład własny w koszty budowy wynosi ",SUM(G77:G91)),IF(SUM(G77:G91)&gt;$I$72,CONCATENATE("Zmniejsz wkład własny o ",SUM(G77:G91)-$I$72),CONCATENATE("Dodaj jeszcze ",$I$72-SUM(G77:G91)," wkładu własnego")))</f>
        <v>Wkład własny w koszty budowy wynosi 0</v>
      </c>
      <c r="I92" s="203" t="str">
        <f>IF(SUM(I77:I91)=$J$10,CONCATENATE("Suma transz na budowę wynosi ",$J$10),IF(SUM(I77:I91)&gt;$J$10,CONCATENATE("Zmniejsz wysokość transz o ",SUM(I77:I91)-$J$10),CONCATENATE("Dodaj jeszcze ",$J$10-SUM(I77:I91)," w proponowanych transzach")))</f>
        <v xml:space="preserve">Suma transz na budowę wynosi </v>
      </c>
      <c r="J92" s="203"/>
    </row>
    <row r="94" spans="2:30" x14ac:dyDescent="0.2">
      <c r="C94" s="203" t="s">
        <v>186</v>
      </c>
      <c r="D94" s="203"/>
      <c r="E94" s="21"/>
      <c r="I94" s="1" t="str">
        <f>IF(EXACT(E1,"Załącznik nr 1 do Umowy"),"Data:","")</f>
        <v/>
      </c>
    </row>
    <row r="95" spans="2:30" ht="43.9" customHeight="1" thickBot="1" x14ac:dyDescent="0.25">
      <c r="C95" s="204" t="str">
        <f>IF(EXACT(E1,"Załącznik nr 1 do Umowy"),"W trakcie realizacji inwestycji do aktualizacji kosztorysu w zakresie: [Aktualne zaawansowanie [%]] wystarczający jest podpis jednego z Kredytobiorców.","")</f>
        <v/>
      </c>
      <c r="D95" s="204"/>
      <c r="E95" s="204"/>
      <c r="F95" s="204"/>
      <c r="G95" s="97"/>
      <c r="H95" s="97"/>
      <c r="I95" s="205" t="str">
        <f>IF(EXACT(E1,"Załącznik nr 1 do Umowy"),"Podpisy w imieniu Banku:","")</f>
        <v/>
      </c>
      <c r="J95" s="205"/>
    </row>
    <row r="96" spans="2:30" ht="14.25" customHeight="1" x14ac:dyDescent="0.2">
      <c r="C96" s="266" t="s">
        <v>185</v>
      </c>
      <c r="D96" s="266"/>
      <c r="E96" s="266"/>
      <c r="F96" s="266"/>
      <c r="H96" s="8"/>
      <c r="I96" s="98"/>
    </row>
    <row r="97" spans="3:8" ht="14.25" customHeight="1" x14ac:dyDescent="0.2">
      <c r="C97" s="266"/>
      <c r="D97" s="266"/>
      <c r="E97" s="266"/>
      <c r="F97" s="266"/>
      <c r="H97" s="8"/>
    </row>
    <row r="98" spans="3:8" x14ac:dyDescent="0.2">
      <c r="C98" s="266"/>
      <c r="D98" s="266"/>
      <c r="E98" s="266"/>
      <c r="F98" s="266"/>
    </row>
    <row r="99" spans="3:8" x14ac:dyDescent="0.2">
      <c r="E99" s="20"/>
      <c r="F99" s="20"/>
    </row>
    <row r="100" spans="3:8" x14ac:dyDescent="0.2">
      <c r="E100" s="20"/>
      <c r="F100" s="20"/>
      <c r="H100" s="9"/>
    </row>
    <row r="101" spans="3:8" x14ac:dyDescent="0.2">
      <c r="E101" s="20"/>
      <c r="F101" s="20"/>
    </row>
  </sheetData>
  <sheetProtection algorithmName="SHA-512" hashValue="n9PCH8qVEWHKNo/769JKocRbhxr4Aa33WQ0xiCE/EpMLZGMJHw8LGApGiz+RbM5BFTmynn3rCaCkWN0SPG7GxQ==" saltValue="VDCA4+OLSvfnviexdIWYxg==" spinCount="100000" sheet="1" objects="1" scenarios="1" formatRows="0" selectLockedCells="1"/>
  <dataConsolidate/>
  <mergeCells count="100">
    <mergeCell ref="B2:I2"/>
    <mergeCell ref="C96:F98"/>
    <mergeCell ref="C32:F32"/>
    <mergeCell ref="J12:J13"/>
    <mergeCell ref="C43:F43"/>
    <mergeCell ref="C42:F42"/>
    <mergeCell ref="C38:F38"/>
    <mergeCell ref="C33:F33"/>
    <mergeCell ref="C28:F28"/>
    <mergeCell ref="C29:F29"/>
    <mergeCell ref="B9:I9"/>
    <mergeCell ref="C25:F25"/>
    <mergeCell ref="B12:F13"/>
    <mergeCell ref="C26:F26"/>
    <mergeCell ref="C15:F15"/>
    <mergeCell ref="C23:F23"/>
    <mergeCell ref="K12:K13"/>
    <mergeCell ref="B11:F11"/>
    <mergeCell ref="C75:F75"/>
    <mergeCell ref="C88:E88"/>
    <mergeCell ref="C77:E77"/>
    <mergeCell ref="C78:E78"/>
    <mergeCell ref="C61:F61"/>
    <mergeCell ref="C27:F27"/>
    <mergeCell ref="C36:F36"/>
    <mergeCell ref="C57:F57"/>
    <mergeCell ref="C62:F62"/>
    <mergeCell ref="C60:F60"/>
    <mergeCell ref="C58:F58"/>
    <mergeCell ref="C86:E86"/>
    <mergeCell ref="C39:F39"/>
    <mergeCell ref="C41:F41"/>
    <mergeCell ref="G12:G13"/>
    <mergeCell ref="C24:F24"/>
    <mergeCell ref="C14:F14"/>
    <mergeCell ref="C16:F16"/>
    <mergeCell ref="C17:F17"/>
    <mergeCell ref="B8:E8"/>
    <mergeCell ref="B4:E4"/>
    <mergeCell ref="C21:F21"/>
    <mergeCell ref="C18:F18"/>
    <mergeCell ref="B7:E7"/>
    <mergeCell ref="B3:E3"/>
    <mergeCell ref="C59:F59"/>
    <mergeCell ref="E1:J1"/>
    <mergeCell ref="C37:F37"/>
    <mergeCell ref="C19:F19"/>
    <mergeCell ref="B5:D5"/>
    <mergeCell ref="C34:F34"/>
    <mergeCell ref="B10:I10"/>
    <mergeCell ref="F3:H3"/>
    <mergeCell ref="F8:J8"/>
    <mergeCell ref="B6:E6"/>
    <mergeCell ref="C22:F22"/>
    <mergeCell ref="H4:J4"/>
    <mergeCell ref="C20:F20"/>
    <mergeCell ref="C30:F30"/>
    <mergeCell ref="C31:F31"/>
    <mergeCell ref="C35:F35"/>
    <mergeCell ref="C91:E91"/>
    <mergeCell ref="C89:E89"/>
    <mergeCell ref="C49:F49"/>
    <mergeCell ref="C54:F54"/>
    <mergeCell ref="C50:F50"/>
    <mergeCell ref="C85:E85"/>
    <mergeCell ref="C71:F71"/>
    <mergeCell ref="C68:F68"/>
    <mergeCell ref="C69:F69"/>
    <mergeCell ref="C63:F63"/>
    <mergeCell ref="C64:F64"/>
    <mergeCell ref="C65:F65"/>
    <mergeCell ref="C66:F66"/>
    <mergeCell ref="C67:F67"/>
    <mergeCell ref="C83:E83"/>
    <mergeCell ref="C46:F46"/>
    <mergeCell ref="C47:F47"/>
    <mergeCell ref="C56:F56"/>
    <mergeCell ref="C40:F40"/>
    <mergeCell ref="C53:F53"/>
    <mergeCell ref="C55:F55"/>
    <mergeCell ref="C51:F51"/>
    <mergeCell ref="C52:F52"/>
    <mergeCell ref="C45:F45"/>
    <mergeCell ref="C44:F44"/>
    <mergeCell ref="C48:F48"/>
    <mergeCell ref="I92:J92"/>
    <mergeCell ref="C95:F95"/>
    <mergeCell ref="I95:J95"/>
    <mergeCell ref="I71:J71"/>
    <mergeCell ref="I70:J70"/>
    <mergeCell ref="C79:E79"/>
    <mergeCell ref="C80:E80"/>
    <mergeCell ref="C81:E81"/>
    <mergeCell ref="C82:E82"/>
    <mergeCell ref="C76:E76"/>
    <mergeCell ref="B70:F70"/>
    <mergeCell ref="C94:D94"/>
    <mergeCell ref="C84:E84"/>
    <mergeCell ref="C90:E90"/>
    <mergeCell ref="C87:E87"/>
  </mergeCells>
  <phoneticPr fontId="0" type="noConversion"/>
  <conditionalFormatting sqref="B23:F24">
    <cfRule type="expression" dxfId="38" priority="18">
      <formula>EXACT($F$6,"NIE")</formula>
    </cfRule>
  </conditionalFormatting>
  <conditionalFormatting sqref="B6:J6">
    <cfRule type="expression" dxfId="37" priority="48">
      <formula>EXACT($J$3,"Lokal mieszkalny")</formula>
    </cfRule>
  </conditionalFormatting>
  <conditionalFormatting sqref="B17:J17 B19:J19 B25:J25 B31:J31 B40:J40 B45:J48 B50:J56 B58:J62 B64:J69">
    <cfRule type="expression" dxfId="36" priority="15" stopIfTrue="1">
      <formula>($H17&gt;0)</formula>
    </cfRule>
  </conditionalFormatting>
  <conditionalFormatting sqref="B23:J24">
    <cfRule type="expression" dxfId="35" priority="76">
      <formula>EXACT($F$6,"NIE")</formula>
    </cfRule>
  </conditionalFormatting>
  <conditionalFormatting sqref="B50:J56">
    <cfRule type="expression" dxfId="34" priority="73">
      <formula>EXACT($F$7,"Deweloperski")</formula>
    </cfRule>
  </conditionalFormatting>
  <conditionalFormatting sqref="E5">
    <cfRule type="expression" dxfId="32" priority="25">
      <formula>AND(NOT(ISBLANK($F$3)),ISBLANK($E$5))</formula>
    </cfRule>
  </conditionalFormatting>
  <conditionalFormatting sqref="F4">
    <cfRule type="expression" dxfId="31" priority="27">
      <formula>AND(NOT(ISBLANK($F$3)),ISBLANK($F$4))</formula>
    </cfRule>
  </conditionalFormatting>
  <conditionalFormatting sqref="F6">
    <cfRule type="expression" dxfId="30" priority="22">
      <formula>AND(NOT(ISBLANK($F$3)),NOT(EXACT($J$3,"Lokal mieszkalny")),ISBLANK($F$6))</formula>
    </cfRule>
  </conditionalFormatting>
  <conditionalFormatting sqref="F7">
    <cfRule type="expression" dxfId="29" priority="21">
      <formula>AND(NOT(ISBLANK($F$3)),ISBLANK($F$7))</formula>
    </cfRule>
  </conditionalFormatting>
  <conditionalFormatting sqref="G5">
    <cfRule type="expression" dxfId="28" priority="24">
      <formula>AND(NOT(ISBLANK($F$3)),ISBLANK($G$5))</formula>
    </cfRule>
  </conditionalFormatting>
  <conditionalFormatting sqref="G92">
    <cfRule type="containsText" dxfId="27" priority="65" operator="containsText" text="Zmniejsz">
      <formula>NOT(ISERROR(SEARCH("Zmniejsz",G92)))</formula>
    </cfRule>
    <cfRule type="containsText" dxfId="26" priority="64" operator="containsText" text="Dodaj">
      <formula>NOT(ISERROR(SEARCH("Dodaj",G92)))</formula>
    </cfRule>
  </conditionalFormatting>
  <conditionalFormatting sqref="H7">
    <cfRule type="expression" dxfId="25" priority="20">
      <formula>AND(NOT(ISBLANK($F$3)),ISBLANK($H$7))</formula>
    </cfRule>
  </conditionalFormatting>
  <conditionalFormatting sqref="H15:H19 H21:H25 H27:H31 H33:H40 H42:H48 H50:H56 H58:H62 H64:H69">
    <cfRule type="expression" dxfId="24" priority="3" stopIfTrue="1">
      <formula>AND(ISNUMBER(I15),ISBLANK(H15))</formula>
    </cfRule>
  </conditionalFormatting>
  <conditionalFormatting sqref="H74">
    <cfRule type="expression" dxfId="23" priority="2">
      <formula>AND(ISBLANK(H74),H71&gt;0)</formula>
    </cfRule>
  </conditionalFormatting>
  <conditionalFormatting sqref="H77:H91">
    <cfRule type="cellIs" dxfId="22" priority="1" operator="greaterThan">
      <formula>$H$74</formula>
    </cfRule>
    <cfRule type="expression" dxfId="21" priority="58">
      <formula>AND(NOT(ISBLANK(I77)),ISBLANK(H77))</formula>
    </cfRule>
  </conditionalFormatting>
  <conditionalFormatting sqref="H4:J4">
    <cfRule type="expression" dxfId="20" priority="26">
      <formula>AND(NOT(ISBLANK($F$3)),ISBLANK($H$4))</formula>
    </cfRule>
  </conditionalFormatting>
  <conditionalFormatting sqref="H15:J18">
    <cfRule type="expression" dxfId="19" priority="59">
      <formula>EXACT(MID($G15,1,4),"jest")</formula>
    </cfRule>
  </conditionalFormatting>
  <conditionalFormatting sqref="I15:I19 I21:I25 I27:I31 I33:I40 I42:I48 I50:I56 I58:I62 I64:I69">
    <cfRule type="expression" dxfId="18" priority="4">
      <formula>AND(ISNUMBER(H15),ISBLANK(I15))</formula>
    </cfRule>
  </conditionalFormatting>
  <conditionalFormatting sqref="I72">
    <cfRule type="cellIs" dxfId="17" priority="13" operator="lessThan">
      <formula>0</formula>
    </cfRule>
  </conditionalFormatting>
  <conditionalFormatting sqref="I77:I91">
    <cfRule type="expression" dxfId="16" priority="61">
      <formula>AND(NOT(ISBLANK(G77)),ISBLANK(I77))</formula>
    </cfRule>
  </conditionalFormatting>
  <conditionalFormatting sqref="I92">
    <cfRule type="containsText" dxfId="15" priority="66" operator="containsText" text="Dodaj">
      <formula>NOT(ISERROR(SEARCH("Dodaj",I92)))</formula>
    </cfRule>
    <cfRule type="containsText" dxfId="14" priority="67" operator="containsText" text="Zmniejsz">
      <formula>NOT(ISERROR(SEARCH("Zmniejsz",I92)))</formula>
    </cfRule>
  </conditionalFormatting>
  <conditionalFormatting sqref="I5:J5">
    <cfRule type="expression" dxfId="13" priority="23">
      <formula>AND(NOT(ISBLANK($F$3)),ISBLANK($I$5))</formula>
    </cfRule>
  </conditionalFormatting>
  <conditionalFormatting sqref="J3">
    <cfRule type="expression" dxfId="12" priority="29">
      <formula>AND(NOT(ISBLANK($F$3)),ISBLANK($J$3))</formula>
    </cfRule>
  </conditionalFormatting>
  <conditionalFormatting sqref="J7">
    <cfRule type="expression" dxfId="11" priority="19">
      <formula>AND(NOT(ISBLANK($F$3)),ISBLANK($J$7))</formula>
    </cfRule>
  </conditionalFormatting>
  <conditionalFormatting sqref="J10">
    <cfRule type="expression" dxfId="10" priority="16">
      <formula>AND(NOT(ISBLANK($F$3)),ISBLANK($J$10))</formula>
    </cfRule>
  </conditionalFormatting>
  <conditionalFormatting sqref="J15:J19 J21:J25 J27:J31 J33:J40 J42:J48 J50:J56 J58:J62 J64:J69">
    <cfRule type="expression" dxfId="9" priority="14" stopIfTrue="1">
      <formula>AND(NOT(ISBLANK($E$1)),NOT(ISBLANK($I15)))</formula>
    </cfRule>
  </conditionalFormatting>
  <conditionalFormatting sqref="K14 K20 K26 K32 K41 K49 K57 K63">
    <cfRule type="expression" dxfId="7" priority="6">
      <formula>NOT(ISNUMBER(K1048541))</formula>
    </cfRule>
  </conditionalFormatting>
  <conditionalFormatting sqref="K15:K19 K21:K25 K27:K31 K33:K40 K42:K48 K50:K56 K58:K62 K64:K69">
    <cfRule type="expression" dxfId="5" priority="5">
      <formula>AND(K15&gt;0,H15&gt;0,I15&lt;K15)</formula>
    </cfRule>
    <cfRule type="expression" dxfId="4" priority="11">
      <formula>AND(I15&gt;0,K15&gt;0,I15&gt;K15)</formula>
    </cfRule>
  </conditionalFormatting>
  <conditionalFormatting sqref="Q85">
    <cfRule type="cellIs" dxfId="3" priority="62" operator="lessThan">
      <formula>$I$2</formula>
    </cfRule>
  </conditionalFormatting>
  <conditionalFormatting sqref="R85">
    <cfRule type="containsText" dxfId="2" priority="63" operator="containsText" text="Brak możliwości wypłaty">
      <formula>NOT(ISERROR(SEARCH("Brak możliwości wypłaty",R85)))</formula>
    </cfRule>
  </conditionalFormatting>
  <dataValidations count="21">
    <dataValidation type="decimal" allowBlank="1" showInputMessage="1" showErrorMessage="1" sqref="J6" xr:uid="{00000000-0002-0000-0000-000000000000}">
      <formula1>0</formula1>
      <formula2>2000</formula2>
    </dataValidation>
    <dataValidation type="list" allowBlank="1" showInputMessage="1" showErrorMessage="1" sqref="F6" xr:uid="{00000000-0002-0000-0000-000001000000}">
      <formula1>"TAK,NIE"</formula1>
    </dataValidation>
    <dataValidation type="list" showInputMessage="1" showErrorMessage="1" sqref="G15" xr:uid="{00000000-0002-0000-0000-000002000000}">
      <formula1>"będzie miejskie, będzie studnia,będzie inne, jest miejskie, jest studnia, jest inne"</formula1>
    </dataValidation>
    <dataValidation type="list" showInputMessage="1" showErrorMessage="1" sqref="G16" xr:uid="{00000000-0002-0000-0000-000003000000}">
      <formula1>"będzie miejskie,będzie szambo,będzie przydomowa oczyszczalnia,będzie inne,jest miejskie,jest szambo,jest przydomowa oczyszczalnia,jest inne"</formula1>
    </dataValidation>
    <dataValidation type="list" showInputMessage="1" showErrorMessage="1" sqref="G17" xr:uid="{00000000-0002-0000-0000-000004000000}">
      <formula1>"będzie sieć publiczna,będzie zbiornik,brak,jest sieć publiczna,jest zbiornik"</formula1>
    </dataValidation>
    <dataValidation type="list" showInputMessage="1" showErrorMessage="1" sqref="G18" xr:uid="{00000000-0002-0000-0000-000005000000}">
      <formula1>"będzie,jest"</formula1>
    </dataValidation>
    <dataValidation type="list" showInputMessage="1" showErrorMessage="1" sqref="J7" xr:uid="{00000000-0002-0000-0000-000006000000}">
      <formula1>"wolnostojąca,bliźniacza,szeregowa"</formula1>
    </dataValidation>
    <dataValidation type="list" showInputMessage="1" showErrorMessage="1" sqref="H7" xr:uid="{00000000-0002-0000-0000-000007000000}">
      <mc:AlternateContent xmlns:x12ac="http://schemas.microsoft.com/office/spreadsheetml/2011/1/ac" xmlns:mc="http://schemas.openxmlformats.org/markup-compatibility/2006">
        <mc:Choice Requires="x12ac">
          <x12ac:list>"0,5",1,"1,5",2,"2,5",3,"3,5"</x12ac:list>
        </mc:Choice>
        <mc:Fallback>
          <formula1>"0,5,1,1,5,2,2,5,3,3,5"</formula1>
        </mc:Fallback>
      </mc:AlternateContent>
    </dataValidation>
    <dataValidation type="decimal" allowBlank="1" showInputMessage="1" showErrorMessage="1" sqref="H6" xr:uid="{00000000-0002-0000-0000-000008000000}">
      <formula1>20</formula1>
      <formula2>1000</formula2>
    </dataValidation>
    <dataValidation type="decimal" operator="greaterThan" allowBlank="1" showInputMessage="1" showErrorMessage="1" errorTitle="Kwota" error="Proszę wprowadzić kwotę PLN" sqref="H15:H19 H64:H70 J10 H21:H25 H27:H31 H58:H62 H50:H56 H42:H48 H34:H40 I77:I91" xr:uid="{00000000-0002-0000-0000-00000A000000}">
      <formula1>0</formula1>
    </dataValidation>
    <dataValidation type="date" operator="greaterThan" allowBlank="1" showInputMessage="1" showErrorMessage="1" errorTitle="Data" error="Proszę wprowadzić datę" sqref="E94 H77:H91" xr:uid="{00000000-0002-0000-0000-00000B000000}">
      <formula1>44300</formula1>
    </dataValidation>
    <dataValidation type="list" allowBlank="1" showInputMessage="1" showErrorMessage="1" sqref="E1:J1" xr:uid="{00000000-0002-0000-0000-00000D000000}">
      <formula1>"Załącznik do Umowy"</formula1>
    </dataValidation>
    <dataValidation type="decimal" operator="greaterThanOrEqual" allowBlank="1" showInputMessage="1" showErrorMessage="1" errorTitle="Kwota" error="Proszę wprowadzić kwotę PLN" sqref="G77:G91" xr:uid="{00000000-0002-0000-0000-00000E000000}">
      <formula1>0</formula1>
    </dataValidation>
    <dataValidation type="list" showInputMessage="1" showErrorMessage="1" sqref="G5" xr:uid="{00000000-0002-0000-0000-00000F000000}">
      <formula1>"dolnośląskie, kujawsko-pomorskie, lubelskie, lubuskie, łódzkie, małopolskie, mazowieckie, opolskie, podkarpackie, podlaskie, pomorskie, śląśkie, świętokrzystkie, warmińsko-mazurskie, wielkopolskie, zachodniopomorskie"</formula1>
    </dataValidation>
    <dataValidation type="list" allowBlank="1" showInputMessage="1" showErrorMessage="1" sqref="J3" xr:uid="{00000000-0002-0000-0000-000011000000}">
      <formula1>"Lokal mieszkalny,Dom jednorodzinny,Dom z częścią usługową, Dom letniskowy całoroczny"</formula1>
    </dataValidation>
    <dataValidation type="list" allowBlank="1" showInputMessage="1" showErrorMessage="1" sqref="F7" xr:uid="{00000000-0002-0000-0000-000012000000}">
      <formula1>"Deweloperski,Średni,Podwyższony,Wysoki"</formula1>
    </dataValidation>
    <dataValidation type="list" allowBlank="1" showInputMessage="1" showErrorMessage="1" sqref="H4:J4" xr:uid="{00000000-0002-0000-0000-000013000000}">
      <formula1>"Prace wykończeniowe,Remont,Remont wymagający zgłoszenia lub pozwolenia na budowę,Budowa,Budowa z generalnym wykonawcą,Przebudowa/Rozbudowa/Nadbudowa"</formula1>
    </dataValidation>
    <dataValidation type="decimal" allowBlank="1" showInputMessage="1" showErrorMessage="1" sqref="F4" xr:uid="{ED95AF87-41FA-4717-B874-3F26E3C2C3C1}">
      <formula1>1</formula1>
      <formula2>1000</formula2>
    </dataValidation>
    <dataValidation type="list" allowBlank="1" showInputMessage="1" showErrorMessage="1" errorTitle="Procent zaawansowania prac" error="Podaj procent zzawansoawnia prac w przedziale od 0% do 100% z dokładnością do 5%._x000a_np. 50% " sqref="I15:I19 I21:I25 I27:I31 I33:I40 I42:I48 I50:I56 I58:I62 I64:I69" xr:uid="{DEA266FB-6B8D-450B-8200-CBBD77DBCAD8}">
      <formula1>"0%,5%,10%,15%,20%,25%,30%,35%,40%,45%,50%,55%,60%,65%,70%,75%,80%,85%,90%,95%,100%"</formula1>
    </dataValidation>
    <dataValidation type="date" errorStyle="warning" operator="greaterThan" allowBlank="1" showInputMessage="1" showErrorMessage="1" errorTitle="Data zakończenia inwestycji" error="Proszę wprowadzić realną datę zakończenia prac. _x000a_Nie powinna być krótsza niż 3 miesiące od daty złożena wniosku kredytowego." sqref="H74" xr:uid="{BC72809B-DCC7-4175-B30E-DF006FE4A55B}">
      <formula1>TODAY()+90</formula1>
    </dataValidation>
    <dataValidation type="list" allowBlank="1" showInputMessage="1" showErrorMessage="1" sqref="J79:J91 J77" xr:uid="{9C647E09-DFAF-4B16-BB0E-5E37E1A09B65}">
      <formula1>"Dla generalnego wykonawcy po wykonaniu prac"</formula1>
    </dataValidation>
  </dataValidations>
  <pageMargins left="0.23622047244094491" right="0.23622047244094491" top="0.74803149606299213" bottom="0.74803149606299213" header="0.31496062992125984" footer="0.31496062992125984"/>
  <pageSetup paperSize="9" scale="53" fitToHeight="0" orientation="portrait" r:id="rId1"/>
  <headerFooter alignWithMargins="0">
    <oddFooter>&amp;C&amp;P z &amp;N</oddFooter>
  </headerFooter>
  <rowBreaks count="1" manualBreakCount="1">
    <brk id="48" max="9" man="1"/>
  </rowBreaks>
  <ignoredErrors>
    <ignoredError sqref="F78" formulaRange="1"/>
  </ignoredErrors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7" id="{154FD873-33AA-4485-9BAE-94233EE19ED4}">
            <xm:f>OR(Wyliczenia!C24,Wyliczenia!F24)</xm:f>
            <x14:dxf>
              <font>
                <color theme="0"/>
              </font>
              <fill>
                <patternFill>
                  <bgColor rgb="FFC00000"/>
                </patternFill>
              </fill>
            </x14:dxf>
          </x14:cfRule>
          <xm:sqref>B14 B20 B26 B32 B41 B49 B57 B63</xm:sqref>
        </x14:conditionalFormatting>
        <x14:conditionalFormatting xmlns:xm="http://schemas.microsoft.com/office/excel/2006/main">
          <x14:cfRule type="expression" priority="17" id="{C8241377-36E5-4C54-9FA7-B55D1F33FA0C}">
            <xm:f>NOT(EXACT(Wyliczenia!$C24,Wyliczenia!$F24))</xm:f>
            <x14:dxf>
              <fill>
                <patternFill>
                  <bgColor theme="5" tint="0.79998168889431442"/>
                </patternFill>
              </fill>
            </x14:dxf>
          </x14:cfRule>
          <xm:sqref>C14:F14 C20:F20 C26:F26 C32:F32 C41:F41 C49:F49 C57:F57 C63:F63</xm:sqref>
        </x14:conditionalFormatting>
        <x14:conditionalFormatting xmlns:xm="http://schemas.microsoft.com/office/excel/2006/main">
          <x14:cfRule type="cellIs" priority="9" operator="greaterThan" id="{EED0FD14-C0CE-466B-8EA0-504331E43C05}">
            <xm:f>Wyliczenia!$S$10</xm:f>
            <x14:dxf>
              <font>
                <color rgb="FF00B050"/>
              </font>
              <fill>
                <patternFill>
                  <bgColor rgb="FFFFFF99"/>
                </patternFill>
              </fill>
            </x14:dxf>
          </x14:cfRule>
          <xm:sqref>K14 K20 K26 K32 K41 K49 K57 K63</xm:sqref>
        </x14:conditionalFormatting>
        <x14:conditionalFormatting xmlns:xm="http://schemas.microsoft.com/office/excel/2006/main">
          <x14:cfRule type="cellIs" priority="8" operator="lessThan" id="{ADD86053-AF2F-4AC7-BE3E-7A9FCA1E4338}">
            <xm:f>Wyliczenia!$S$11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K14 K20 K26 K32 K41 K49 K57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/>
  <dimension ref="A1:AJ70"/>
  <sheetViews>
    <sheetView showGridLines="0" showRowColHeaders="0" zoomScale="64" zoomScaleNormal="64" zoomScaleSheetLayoutView="85" workbookViewId="0">
      <selection activeCell="V6" sqref="V6"/>
    </sheetView>
  </sheetViews>
  <sheetFormatPr defaultRowHeight="15" x14ac:dyDescent="0.2"/>
  <cols>
    <col min="1" max="1" width="4.28515625" style="34" customWidth="1"/>
    <col min="2" max="4" width="8.85546875" style="34"/>
    <col min="5" max="5" width="5.42578125" style="34" customWidth="1"/>
    <col min="6" max="6" width="11" style="34" customWidth="1"/>
    <col min="7" max="7" width="7.85546875" style="34" customWidth="1"/>
    <col min="8" max="256" width="8.85546875" style="34"/>
    <col min="257" max="257" width="4.28515625" style="34" customWidth="1"/>
    <col min="258" max="260" width="8.85546875" style="34"/>
    <col min="261" max="261" width="5.42578125" style="34" customWidth="1"/>
    <col min="262" max="262" width="11" style="34" customWidth="1"/>
    <col min="263" max="263" width="7.85546875" style="34" customWidth="1"/>
    <col min="264" max="512" width="8.85546875" style="34"/>
    <col min="513" max="513" width="4.28515625" style="34" customWidth="1"/>
    <col min="514" max="516" width="8.85546875" style="34"/>
    <col min="517" max="517" width="5.42578125" style="34" customWidth="1"/>
    <col min="518" max="518" width="11" style="34" customWidth="1"/>
    <col min="519" max="519" width="7.85546875" style="34" customWidth="1"/>
    <col min="520" max="768" width="8.85546875" style="34"/>
    <col min="769" max="769" width="4.28515625" style="34" customWidth="1"/>
    <col min="770" max="772" width="8.85546875" style="34"/>
    <col min="773" max="773" width="5.42578125" style="34" customWidth="1"/>
    <col min="774" max="774" width="11" style="34" customWidth="1"/>
    <col min="775" max="775" width="7.85546875" style="34" customWidth="1"/>
    <col min="776" max="1024" width="8.85546875" style="34"/>
    <col min="1025" max="1025" width="4.28515625" style="34" customWidth="1"/>
    <col min="1026" max="1028" width="8.85546875" style="34"/>
    <col min="1029" max="1029" width="5.42578125" style="34" customWidth="1"/>
    <col min="1030" max="1030" width="11" style="34" customWidth="1"/>
    <col min="1031" max="1031" width="7.85546875" style="34" customWidth="1"/>
    <col min="1032" max="1280" width="8.85546875" style="34"/>
    <col min="1281" max="1281" width="4.28515625" style="34" customWidth="1"/>
    <col min="1282" max="1284" width="8.85546875" style="34"/>
    <col min="1285" max="1285" width="5.42578125" style="34" customWidth="1"/>
    <col min="1286" max="1286" width="11" style="34" customWidth="1"/>
    <col min="1287" max="1287" width="7.85546875" style="34" customWidth="1"/>
    <col min="1288" max="1536" width="8.85546875" style="34"/>
    <col min="1537" max="1537" width="4.28515625" style="34" customWidth="1"/>
    <col min="1538" max="1540" width="8.85546875" style="34"/>
    <col min="1541" max="1541" width="5.42578125" style="34" customWidth="1"/>
    <col min="1542" max="1542" width="11" style="34" customWidth="1"/>
    <col min="1543" max="1543" width="7.85546875" style="34" customWidth="1"/>
    <col min="1544" max="1792" width="8.85546875" style="34"/>
    <col min="1793" max="1793" width="4.28515625" style="34" customWidth="1"/>
    <col min="1794" max="1796" width="8.85546875" style="34"/>
    <col min="1797" max="1797" width="5.42578125" style="34" customWidth="1"/>
    <col min="1798" max="1798" width="11" style="34" customWidth="1"/>
    <col min="1799" max="1799" width="7.85546875" style="34" customWidth="1"/>
    <col min="1800" max="2048" width="8.85546875" style="34"/>
    <col min="2049" max="2049" width="4.28515625" style="34" customWidth="1"/>
    <col min="2050" max="2052" width="8.85546875" style="34"/>
    <col min="2053" max="2053" width="5.42578125" style="34" customWidth="1"/>
    <col min="2054" max="2054" width="11" style="34" customWidth="1"/>
    <col min="2055" max="2055" width="7.85546875" style="34" customWidth="1"/>
    <col min="2056" max="2304" width="8.85546875" style="34"/>
    <col min="2305" max="2305" width="4.28515625" style="34" customWidth="1"/>
    <col min="2306" max="2308" width="8.85546875" style="34"/>
    <col min="2309" max="2309" width="5.42578125" style="34" customWidth="1"/>
    <col min="2310" max="2310" width="11" style="34" customWidth="1"/>
    <col min="2311" max="2311" width="7.85546875" style="34" customWidth="1"/>
    <col min="2312" max="2560" width="8.85546875" style="34"/>
    <col min="2561" max="2561" width="4.28515625" style="34" customWidth="1"/>
    <col min="2562" max="2564" width="8.85546875" style="34"/>
    <col min="2565" max="2565" width="5.42578125" style="34" customWidth="1"/>
    <col min="2566" max="2566" width="11" style="34" customWidth="1"/>
    <col min="2567" max="2567" width="7.85546875" style="34" customWidth="1"/>
    <col min="2568" max="2816" width="8.85546875" style="34"/>
    <col min="2817" max="2817" width="4.28515625" style="34" customWidth="1"/>
    <col min="2818" max="2820" width="8.85546875" style="34"/>
    <col min="2821" max="2821" width="5.42578125" style="34" customWidth="1"/>
    <col min="2822" max="2822" width="11" style="34" customWidth="1"/>
    <col min="2823" max="2823" width="7.85546875" style="34" customWidth="1"/>
    <col min="2824" max="3072" width="8.85546875" style="34"/>
    <col min="3073" max="3073" width="4.28515625" style="34" customWidth="1"/>
    <col min="3074" max="3076" width="8.85546875" style="34"/>
    <col min="3077" max="3077" width="5.42578125" style="34" customWidth="1"/>
    <col min="3078" max="3078" width="11" style="34" customWidth="1"/>
    <col min="3079" max="3079" width="7.85546875" style="34" customWidth="1"/>
    <col min="3080" max="3328" width="8.85546875" style="34"/>
    <col min="3329" max="3329" width="4.28515625" style="34" customWidth="1"/>
    <col min="3330" max="3332" width="8.85546875" style="34"/>
    <col min="3333" max="3333" width="5.42578125" style="34" customWidth="1"/>
    <col min="3334" max="3334" width="11" style="34" customWidth="1"/>
    <col min="3335" max="3335" width="7.85546875" style="34" customWidth="1"/>
    <col min="3336" max="3584" width="8.85546875" style="34"/>
    <col min="3585" max="3585" width="4.28515625" style="34" customWidth="1"/>
    <col min="3586" max="3588" width="8.85546875" style="34"/>
    <col min="3589" max="3589" width="5.42578125" style="34" customWidth="1"/>
    <col min="3590" max="3590" width="11" style="34" customWidth="1"/>
    <col min="3591" max="3591" width="7.85546875" style="34" customWidth="1"/>
    <col min="3592" max="3840" width="8.85546875" style="34"/>
    <col min="3841" max="3841" width="4.28515625" style="34" customWidth="1"/>
    <col min="3842" max="3844" width="8.85546875" style="34"/>
    <col min="3845" max="3845" width="5.42578125" style="34" customWidth="1"/>
    <col min="3846" max="3846" width="11" style="34" customWidth="1"/>
    <col min="3847" max="3847" width="7.85546875" style="34" customWidth="1"/>
    <col min="3848" max="4096" width="8.85546875" style="34"/>
    <col min="4097" max="4097" width="4.28515625" style="34" customWidth="1"/>
    <col min="4098" max="4100" width="8.85546875" style="34"/>
    <col min="4101" max="4101" width="5.42578125" style="34" customWidth="1"/>
    <col min="4102" max="4102" width="11" style="34" customWidth="1"/>
    <col min="4103" max="4103" width="7.85546875" style="34" customWidth="1"/>
    <col min="4104" max="4352" width="8.85546875" style="34"/>
    <col min="4353" max="4353" width="4.28515625" style="34" customWidth="1"/>
    <col min="4354" max="4356" width="8.85546875" style="34"/>
    <col min="4357" max="4357" width="5.42578125" style="34" customWidth="1"/>
    <col min="4358" max="4358" width="11" style="34" customWidth="1"/>
    <col min="4359" max="4359" width="7.85546875" style="34" customWidth="1"/>
    <col min="4360" max="4608" width="8.85546875" style="34"/>
    <col min="4609" max="4609" width="4.28515625" style="34" customWidth="1"/>
    <col min="4610" max="4612" width="8.85546875" style="34"/>
    <col min="4613" max="4613" width="5.42578125" style="34" customWidth="1"/>
    <col min="4614" max="4614" width="11" style="34" customWidth="1"/>
    <col min="4615" max="4615" width="7.85546875" style="34" customWidth="1"/>
    <col min="4616" max="4864" width="8.85546875" style="34"/>
    <col min="4865" max="4865" width="4.28515625" style="34" customWidth="1"/>
    <col min="4866" max="4868" width="8.85546875" style="34"/>
    <col min="4869" max="4869" width="5.42578125" style="34" customWidth="1"/>
    <col min="4870" max="4870" width="11" style="34" customWidth="1"/>
    <col min="4871" max="4871" width="7.85546875" style="34" customWidth="1"/>
    <col min="4872" max="5120" width="8.85546875" style="34"/>
    <col min="5121" max="5121" width="4.28515625" style="34" customWidth="1"/>
    <col min="5122" max="5124" width="8.85546875" style="34"/>
    <col min="5125" max="5125" width="5.42578125" style="34" customWidth="1"/>
    <col min="5126" max="5126" width="11" style="34" customWidth="1"/>
    <col min="5127" max="5127" width="7.85546875" style="34" customWidth="1"/>
    <col min="5128" max="5376" width="8.85546875" style="34"/>
    <col min="5377" max="5377" width="4.28515625" style="34" customWidth="1"/>
    <col min="5378" max="5380" width="8.85546875" style="34"/>
    <col min="5381" max="5381" width="5.42578125" style="34" customWidth="1"/>
    <col min="5382" max="5382" width="11" style="34" customWidth="1"/>
    <col min="5383" max="5383" width="7.85546875" style="34" customWidth="1"/>
    <col min="5384" max="5632" width="8.85546875" style="34"/>
    <col min="5633" max="5633" width="4.28515625" style="34" customWidth="1"/>
    <col min="5634" max="5636" width="8.85546875" style="34"/>
    <col min="5637" max="5637" width="5.42578125" style="34" customWidth="1"/>
    <col min="5638" max="5638" width="11" style="34" customWidth="1"/>
    <col min="5639" max="5639" width="7.85546875" style="34" customWidth="1"/>
    <col min="5640" max="5888" width="8.85546875" style="34"/>
    <col min="5889" max="5889" width="4.28515625" style="34" customWidth="1"/>
    <col min="5890" max="5892" width="8.85546875" style="34"/>
    <col min="5893" max="5893" width="5.42578125" style="34" customWidth="1"/>
    <col min="5894" max="5894" width="11" style="34" customWidth="1"/>
    <col min="5895" max="5895" width="7.85546875" style="34" customWidth="1"/>
    <col min="5896" max="6144" width="8.85546875" style="34"/>
    <col min="6145" max="6145" width="4.28515625" style="34" customWidth="1"/>
    <col min="6146" max="6148" width="8.85546875" style="34"/>
    <col min="6149" max="6149" width="5.42578125" style="34" customWidth="1"/>
    <col min="6150" max="6150" width="11" style="34" customWidth="1"/>
    <col min="6151" max="6151" width="7.85546875" style="34" customWidth="1"/>
    <col min="6152" max="6400" width="8.85546875" style="34"/>
    <col min="6401" max="6401" width="4.28515625" style="34" customWidth="1"/>
    <col min="6402" max="6404" width="8.85546875" style="34"/>
    <col min="6405" max="6405" width="5.42578125" style="34" customWidth="1"/>
    <col min="6406" max="6406" width="11" style="34" customWidth="1"/>
    <col min="6407" max="6407" width="7.85546875" style="34" customWidth="1"/>
    <col min="6408" max="6656" width="8.85546875" style="34"/>
    <col min="6657" max="6657" width="4.28515625" style="34" customWidth="1"/>
    <col min="6658" max="6660" width="8.85546875" style="34"/>
    <col min="6661" max="6661" width="5.42578125" style="34" customWidth="1"/>
    <col min="6662" max="6662" width="11" style="34" customWidth="1"/>
    <col min="6663" max="6663" width="7.85546875" style="34" customWidth="1"/>
    <col min="6664" max="6912" width="8.85546875" style="34"/>
    <col min="6913" max="6913" width="4.28515625" style="34" customWidth="1"/>
    <col min="6914" max="6916" width="8.85546875" style="34"/>
    <col min="6917" max="6917" width="5.42578125" style="34" customWidth="1"/>
    <col min="6918" max="6918" width="11" style="34" customWidth="1"/>
    <col min="6919" max="6919" width="7.85546875" style="34" customWidth="1"/>
    <col min="6920" max="7168" width="8.85546875" style="34"/>
    <col min="7169" max="7169" width="4.28515625" style="34" customWidth="1"/>
    <col min="7170" max="7172" width="8.85546875" style="34"/>
    <col min="7173" max="7173" width="5.42578125" style="34" customWidth="1"/>
    <col min="7174" max="7174" width="11" style="34" customWidth="1"/>
    <col min="7175" max="7175" width="7.85546875" style="34" customWidth="1"/>
    <col min="7176" max="7424" width="8.85546875" style="34"/>
    <col min="7425" max="7425" width="4.28515625" style="34" customWidth="1"/>
    <col min="7426" max="7428" width="8.85546875" style="34"/>
    <col min="7429" max="7429" width="5.42578125" style="34" customWidth="1"/>
    <col min="7430" max="7430" width="11" style="34" customWidth="1"/>
    <col min="7431" max="7431" width="7.85546875" style="34" customWidth="1"/>
    <col min="7432" max="7680" width="8.85546875" style="34"/>
    <col min="7681" max="7681" width="4.28515625" style="34" customWidth="1"/>
    <col min="7682" max="7684" width="8.85546875" style="34"/>
    <col min="7685" max="7685" width="5.42578125" style="34" customWidth="1"/>
    <col min="7686" max="7686" width="11" style="34" customWidth="1"/>
    <col min="7687" max="7687" width="7.85546875" style="34" customWidth="1"/>
    <col min="7688" max="7936" width="8.85546875" style="34"/>
    <col min="7937" max="7937" width="4.28515625" style="34" customWidth="1"/>
    <col min="7938" max="7940" width="8.85546875" style="34"/>
    <col min="7941" max="7941" width="5.42578125" style="34" customWidth="1"/>
    <col min="7942" max="7942" width="11" style="34" customWidth="1"/>
    <col min="7943" max="7943" width="7.85546875" style="34" customWidth="1"/>
    <col min="7944" max="8192" width="8.85546875" style="34"/>
    <col min="8193" max="8193" width="4.28515625" style="34" customWidth="1"/>
    <col min="8194" max="8196" width="8.85546875" style="34"/>
    <col min="8197" max="8197" width="5.42578125" style="34" customWidth="1"/>
    <col min="8198" max="8198" width="11" style="34" customWidth="1"/>
    <col min="8199" max="8199" width="7.85546875" style="34" customWidth="1"/>
    <col min="8200" max="8448" width="8.85546875" style="34"/>
    <col min="8449" max="8449" width="4.28515625" style="34" customWidth="1"/>
    <col min="8450" max="8452" width="8.85546875" style="34"/>
    <col min="8453" max="8453" width="5.42578125" style="34" customWidth="1"/>
    <col min="8454" max="8454" width="11" style="34" customWidth="1"/>
    <col min="8455" max="8455" width="7.85546875" style="34" customWidth="1"/>
    <col min="8456" max="8704" width="8.85546875" style="34"/>
    <col min="8705" max="8705" width="4.28515625" style="34" customWidth="1"/>
    <col min="8706" max="8708" width="8.85546875" style="34"/>
    <col min="8709" max="8709" width="5.42578125" style="34" customWidth="1"/>
    <col min="8710" max="8710" width="11" style="34" customWidth="1"/>
    <col min="8711" max="8711" width="7.85546875" style="34" customWidth="1"/>
    <col min="8712" max="8960" width="8.85546875" style="34"/>
    <col min="8961" max="8961" width="4.28515625" style="34" customWidth="1"/>
    <col min="8962" max="8964" width="8.85546875" style="34"/>
    <col min="8965" max="8965" width="5.42578125" style="34" customWidth="1"/>
    <col min="8966" max="8966" width="11" style="34" customWidth="1"/>
    <col min="8967" max="8967" width="7.85546875" style="34" customWidth="1"/>
    <col min="8968" max="9216" width="8.85546875" style="34"/>
    <col min="9217" max="9217" width="4.28515625" style="34" customWidth="1"/>
    <col min="9218" max="9220" width="8.85546875" style="34"/>
    <col min="9221" max="9221" width="5.42578125" style="34" customWidth="1"/>
    <col min="9222" max="9222" width="11" style="34" customWidth="1"/>
    <col min="9223" max="9223" width="7.85546875" style="34" customWidth="1"/>
    <col min="9224" max="9472" width="8.85546875" style="34"/>
    <col min="9473" max="9473" width="4.28515625" style="34" customWidth="1"/>
    <col min="9474" max="9476" width="8.85546875" style="34"/>
    <col min="9477" max="9477" width="5.42578125" style="34" customWidth="1"/>
    <col min="9478" max="9478" width="11" style="34" customWidth="1"/>
    <col min="9479" max="9479" width="7.85546875" style="34" customWidth="1"/>
    <col min="9480" max="9728" width="8.85546875" style="34"/>
    <col min="9729" max="9729" width="4.28515625" style="34" customWidth="1"/>
    <col min="9730" max="9732" width="8.85546875" style="34"/>
    <col min="9733" max="9733" width="5.42578125" style="34" customWidth="1"/>
    <col min="9734" max="9734" width="11" style="34" customWidth="1"/>
    <col min="9735" max="9735" width="7.85546875" style="34" customWidth="1"/>
    <col min="9736" max="9984" width="8.85546875" style="34"/>
    <col min="9985" max="9985" width="4.28515625" style="34" customWidth="1"/>
    <col min="9986" max="9988" width="8.85546875" style="34"/>
    <col min="9989" max="9989" width="5.42578125" style="34" customWidth="1"/>
    <col min="9990" max="9990" width="11" style="34" customWidth="1"/>
    <col min="9991" max="9991" width="7.85546875" style="34" customWidth="1"/>
    <col min="9992" max="10240" width="8.85546875" style="34"/>
    <col min="10241" max="10241" width="4.28515625" style="34" customWidth="1"/>
    <col min="10242" max="10244" width="8.85546875" style="34"/>
    <col min="10245" max="10245" width="5.42578125" style="34" customWidth="1"/>
    <col min="10246" max="10246" width="11" style="34" customWidth="1"/>
    <col min="10247" max="10247" width="7.85546875" style="34" customWidth="1"/>
    <col min="10248" max="10496" width="8.85546875" style="34"/>
    <col min="10497" max="10497" width="4.28515625" style="34" customWidth="1"/>
    <col min="10498" max="10500" width="8.85546875" style="34"/>
    <col min="10501" max="10501" width="5.42578125" style="34" customWidth="1"/>
    <col min="10502" max="10502" width="11" style="34" customWidth="1"/>
    <col min="10503" max="10503" width="7.85546875" style="34" customWidth="1"/>
    <col min="10504" max="10752" width="8.85546875" style="34"/>
    <col min="10753" max="10753" width="4.28515625" style="34" customWidth="1"/>
    <col min="10754" max="10756" width="8.85546875" style="34"/>
    <col min="10757" max="10757" width="5.42578125" style="34" customWidth="1"/>
    <col min="10758" max="10758" width="11" style="34" customWidth="1"/>
    <col min="10759" max="10759" width="7.85546875" style="34" customWidth="1"/>
    <col min="10760" max="11008" width="8.85546875" style="34"/>
    <col min="11009" max="11009" width="4.28515625" style="34" customWidth="1"/>
    <col min="11010" max="11012" width="8.85546875" style="34"/>
    <col min="11013" max="11013" width="5.42578125" style="34" customWidth="1"/>
    <col min="11014" max="11014" width="11" style="34" customWidth="1"/>
    <col min="11015" max="11015" width="7.85546875" style="34" customWidth="1"/>
    <col min="11016" max="11264" width="8.85546875" style="34"/>
    <col min="11265" max="11265" width="4.28515625" style="34" customWidth="1"/>
    <col min="11266" max="11268" width="8.85546875" style="34"/>
    <col min="11269" max="11269" width="5.42578125" style="34" customWidth="1"/>
    <col min="11270" max="11270" width="11" style="34" customWidth="1"/>
    <col min="11271" max="11271" width="7.85546875" style="34" customWidth="1"/>
    <col min="11272" max="11520" width="8.85546875" style="34"/>
    <col min="11521" max="11521" width="4.28515625" style="34" customWidth="1"/>
    <col min="11522" max="11524" width="8.85546875" style="34"/>
    <col min="11525" max="11525" width="5.42578125" style="34" customWidth="1"/>
    <col min="11526" max="11526" width="11" style="34" customWidth="1"/>
    <col min="11527" max="11527" width="7.85546875" style="34" customWidth="1"/>
    <col min="11528" max="11776" width="8.85546875" style="34"/>
    <col min="11777" max="11777" width="4.28515625" style="34" customWidth="1"/>
    <col min="11778" max="11780" width="8.85546875" style="34"/>
    <col min="11781" max="11781" width="5.42578125" style="34" customWidth="1"/>
    <col min="11782" max="11782" width="11" style="34" customWidth="1"/>
    <col min="11783" max="11783" width="7.85546875" style="34" customWidth="1"/>
    <col min="11784" max="12032" width="8.85546875" style="34"/>
    <col min="12033" max="12033" width="4.28515625" style="34" customWidth="1"/>
    <col min="12034" max="12036" width="8.85546875" style="34"/>
    <col min="12037" max="12037" width="5.42578125" style="34" customWidth="1"/>
    <col min="12038" max="12038" width="11" style="34" customWidth="1"/>
    <col min="12039" max="12039" width="7.85546875" style="34" customWidth="1"/>
    <col min="12040" max="12288" width="8.85546875" style="34"/>
    <col min="12289" max="12289" width="4.28515625" style="34" customWidth="1"/>
    <col min="12290" max="12292" width="8.85546875" style="34"/>
    <col min="12293" max="12293" width="5.42578125" style="34" customWidth="1"/>
    <col min="12294" max="12294" width="11" style="34" customWidth="1"/>
    <col min="12295" max="12295" width="7.85546875" style="34" customWidth="1"/>
    <col min="12296" max="12544" width="8.85546875" style="34"/>
    <col min="12545" max="12545" width="4.28515625" style="34" customWidth="1"/>
    <col min="12546" max="12548" width="8.85546875" style="34"/>
    <col min="12549" max="12549" width="5.42578125" style="34" customWidth="1"/>
    <col min="12550" max="12550" width="11" style="34" customWidth="1"/>
    <col min="12551" max="12551" width="7.85546875" style="34" customWidth="1"/>
    <col min="12552" max="12800" width="8.85546875" style="34"/>
    <col min="12801" max="12801" width="4.28515625" style="34" customWidth="1"/>
    <col min="12802" max="12804" width="8.85546875" style="34"/>
    <col min="12805" max="12805" width="5.42578125" style="34" customWidth="1"/>
    <col min="12806" max="12806" width="11" style="34" customWidth="1"/>
    <col min="12807" max="12807" width="7.85546875" style="34" customWidth="1"/>
    <col min="12808" max="13056" width="8.85546875" style="34"/>
    <col min="13057" max="13057" width="4.28515625" style="34" customWidth="1"/>
    <col min="13058" max="13060" width="8.85546875" style="34"/>
    <col min="13061" max="13061" width="5.42578125" style="34" customWidth="1"/>
    <col min="13062" max="13062" width="11" style="34" customWidth="1"/>
    <col min="13063" max="13063" width="7.85546875" style="34" customWidth="1"/>
    <col min="13064" max="13312" width="8.85546875" style="34"/>
    <col min="13313" max="13313" width="4.28515625" style="34" customWidth="1"/>
    <col min="13314" max="13316" width="8.85546875" style="34"/>
    <col min="13317" max="13317" width="5.42578125" style="34" customWidth="1"/>
    <col min="13318" max="13318" width="11" style="34" customWidth="1"/>
    <col min="13319" max="13319" width="7.85546875" style="34" customWidth="1"/>
    <col min="13320" max="13568" width="8.85546875" style="34"/>
    <col min="13569" max="13569" width="4.28515625" style="34" customWidth="1"/>
    <col min="13570" max="13572" width="8.85546875" style="34"/>
    <col min="13573" max="13573" width="5.42578125" style="34" customWidth="1"/>
    <col min="13574" max="13574" width="11" style="34" customWidth="1"/>
    <col min="13575" max="13575" width="7.85546875" style="34" customWidth="1"/>
    <col min="13576" max="13824" width="8.85546875" style="34"/>
    <col min="13825" max="13825" width="4.28515625" style="34" customWidth="1"/>
    <col min="13826" max="13828" width="8.85546875" style="34"/>
    <col min="13829" max="13829" width="5.42578125" style="34" customWidth="1"/>
    <col min="13830" max="13830" width="11" style="34" customWidth="1"/>
    <col min="13831" max="13831" width="7.85546875" style="34" customWidth="1"/>
    <col min="13832" max="14080" width="8.85546875" style="34"/>
    <col min="14081" max="14081" width="4.28515625" style="34" customWidth="1"/>
    <col min="14082" max="14084" width="8.85546875" style="34"/>
    <col min="14085" max="14085" width="5.42578125" style="34" customWidth="1"/>
    <col min="14086" max="14086" width="11" style="34" customWidth="1"/>
    <col min="14087" max="14087" width="7.85546875" style="34" customWidth="1"/>
    <col min="14088" max="14336" width="8.85546875" style="34"/>
    <col min="14337" max="14337" width="4.28515625" style="34" customWidth="1"/>
    <col min="14338" max="14340" width="8.85546875" style="34"/>
    <col min="14341" max="14341" width="5.42578125" style="34" customWidth="1"/>
    <col min="14342" max="14342" width="11" style="34" customWidth="1"/>
    <col min="14343" max="14343" width="7.85546875" style="34" customWidth="1"/>
    <col min="14344" max="14592" width="8.85546875" style="34"/>
    <col min="14593" max="14593" width="4.28515625" style="34" customWidth="1"/>
    <col min="14594" max="14596" width="8.85546875" style="34"/>
    <col min="14597" max="14597" width="5.42578125" style="34" customWidth="1"/>
    <col min="14598" max="14598" width="11" style="34" customWidth="1"/>
    <col min="14599" max="14599" width="7.85546875" style="34" customWidth="1"/>
    <col min="14600" max="14848" width="8.85546875" style="34"/>
    <col min="14849" max="14849" width="4.28515625" style="34" customWidth="1"/>
    <col min="14850" max="14852" width="8.85546875" style="34"/>
    <col min="14853" max="14853" width="5.42578125" style="34" customWidth="1"/>
    <col min="14854" max="14854" width="11" style="34" customWidth="1"/>
    <col min="14855" max="14855" width="7.85546875" style="34" customWidth="1"/>
    <col min="14856" max="15104" width="8.85546875" style="34"/>
    <col min="15105" max="15105" width="4.28515625" style="34" customWidth="1"/>
    <col min="15106" max="15108" width="8.85546875" style="34"/>
    <col min="15109" max="15109" width="5.42578125" style="34" customWidth="1"/>
    <col min="15110" max="15110" width="11" style="34" customWidth="1"/>
    <col min="15111" max="15111" width="7.85546875" style="34" customWidth="1"/>
    <col min="15112" max="15360" width="8.85546875" style="34"/>
    <col min="15361" max="15361" width="4.28515625" style="34" customWidth="1"/>
    <col min="15362" max="15364" width="8.85546875" style="34"/>
    <col min="15365" max="15365" width="5.42578125" style="34" customWidth="1"/>
    <col min="15366" max="15366" width="11" style="34" customWidth="1"/>
    <col min="15367" max="15367" width="7.85546875" style="34" customWidth="1"/>
    <col min="15368" max="15616" width="8.85546875" style="34"/>
    <col min="15617" max="15617" width="4.28515625" style="34" customWidth="1"/>
    <col min="15618" max="15620" width="8.85546875" style="34"/>
    <col min="15621" max="15621" width="5.42578125" style="34" customWidth="1"/>
    <col min="15622" max="15622" width="11" style="34" customWidth="1"/>
    <col min="15623" max="15623" width="7.85546875" style="34" customWidth="1"/>
    <col min="15624" max="15872" width="8.85546875" style="34"/>
    <col min="15873" max="15873" width="4.28515625" style="34" customWidth="1"/>
    <col min="15874" max="15876" width="8.85546875" style="34"/>
    <col min="15877" max="15877" width="5.42578125" style="34" customWidth="1"/>
    <col min="15878" max="15878" width="11" style="34" customWidth="1"/>
    <col min="15879" max="15879" width="7.85546875" style="34" customWidth="1"/>
    <col min="15880" max="16128" width="8.85546875" style="34"/>
    <col min="16129" max="16129" width="4.28515625" style="34" customWidth="1"/>
    <col min="16130" max="16132" width="8.85546875" style="34"/>
    <col min="16133" max="16133" width="5.42578125" style="34" customWidth="1"/>
    <col min="16134" max="16134" width="11" style="34" customWidth="1"/>
    <col min="16135" max="16135" width="7.85546875" style="34" customWidth="1"/>
    <col min="16136" max="16384" width="8.85546875" style="34"/>
  </cols>
  <sheetData>
    <row r="1" spans="1:36" s="26" customFormat="1" ht="21.6" customHeight="1" x14ac:dyDescent="0.2">
      <c r="A1" s="22"/>
      <c r="B1" s="22" t="s">
        <v>34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4"/>
      <c r="S1" s="24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</row>
    <row r="2" spans="1:36" s="28" customFormat="1" ht="16.149999999999999" customHeight="1" x14ac:dyDescent="0.2">
      <c r="A2" s="27"/>
      <c r="B2" s="27"/>
      <c r="R2" s="29"/>
      <c r="S2" s="29"/>
    </row>
    <row r="3" spans="1:36" s="28" customFormat="1" ht="30" customHeight="1" x14ac:dyDescent="0.2">
      <c r="A3" s="27"/>
      <c r="B3" s="27" t="s">
        <v>187</v>
      </c>
      <c r="R3" s="29"/>
      <c r="S3" s="29"/>
    </row>
    <row r="4" spans="1:36" s="28" customFormat="1" ht="21.6" customHeight="1" x14ac:dyDescent="0.2">
      <c r="A4" s="27"/>
      <c r="B4" s="282" t="s">
        <v>188</v>
      </c>
      <c r="C4" s="283"/>
      <c r="D4" s="283"/>
      <c r="E4" s="284"/>
      <c r="F4" s="30" t="s">
        <v>190</v>
      </c>
      <c r="H4" s="27" t="s">
        <v>35</v>
      </c>
      <c r="M4" s="27"/>
      <c r="R4" s="29"/>
      <c r="S4" s="29"/>
    </row>
    <row r="5" spans="1:36" s="28" customFormat="1" ht="21.6" customHeight="1" x14ac:dyDescent="0.2">
      <c r="A5" s="27"/>
      <c r="B5" s="283"/>
      <c r="C5" s="283"/>
      <c r="D5" s="283"/>
      <c r="E5" s="284"/>
      <c r="F5" s="31" t="s">
        <v>191</v>
      </c>
      <c r="H5" s="27" t="s">
        <v>189</v>
      </c>
      <c r="R5" s="29"/>
      <c r="S5" s="29"/>
    </row>
    <row r="6" spans="1:36" s="28" customFormat="1" ht="21.6" customHeight="1" x14ac:dyDescent="0.2">
      <c r="A6" s="27"/>
      <c r="F6" s="32" t="s">
        <v>36</v>
      </c>
      <c r="H6" s="27" t="s">
        <v>37</v>
      </c>
      <c r="R6" s="29"/>
      <c r="S6" s="29"/>
    </row>
    <row r="7" spans="1:36" s="28" customFormat="1" ht="15.6" customHeight="1" x14ac:dyDescent="0.2">
      <c r="A7" s="27"/>
      <c r="F7" s="33"/>
      <c r="H7" s="27"/>
      <c r="R7" s="29"/>
      <c r="S7" s="29"/>
    </row>
    <row r="8" spans="1:36" s="28" customFormat="1" ht="21.6" customHeight="1" x14ac:dyDescent="0.2">
      <c r="A8" s="27"/>
      <c r="B8" s="27" t="s">
        <v>38</v>
      </c>
      <c r="D8" s="28" t="s">
        <v>192</v>
      </c>
      <c r="R8" s="29"/>
      <c r="S8" s="29"/>
    </row>
    <row r="9" spans="1:36" s="28" customFormat="1" ht="21.6" customHeight="1" x14ac:dyDescent="0.2">
      <c r="A9" s="27"/>
      <c r="D9" s="28" t="s">
        <v>193</v>
      </c>
      <c r="R9" s="29"/>
      <c r="S9" s="29"/>
    </row>
    <row r="10" spans="1:36" s="28" customFormat="1" ht="21.6" customHeight="1" x14ac:dyDescent="0.2">
      <c r="A10" s="27"/>
      <c r="R10" s="29"/>
      <c r="S10" s="29"/>
    </row>
    <row r="11" spans="1:36" x14ac:dyDescent="0.2">
      <c r="B11" s="27" t="s">
        <v>194</v>
      </c>
    </row>
    <row r="69" spans="2:21" ht="15.75" thickBot="1" x14ac:dyDescent="0.25"/>
    <row r="70" spans="2:21" ht="29.45" customHeight="1" thickBot="1" x14ac:dyDescent="0.25">
      <c r="B70" s="35" t="s">
        <v>39</v>
      </c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7"/>
    </row>
  </sheetData>
  <sheetProtection algorithmName="SHA-512" hashValue="+jQMVqFQevGWJZxAY3fh4HWS458yJQ34qeeA5sjlcQ0ZNnW8ZT+mPOU5g+qB/SHYVijfhStjDmvZAvdAhr8ZWw==" saltValue="7B4B+ecWDz6T/l9C5U9j4g==" spinCount="100000" sheet="1" objects="1" scenarios="1" selectLockedCells="1"/>
  <mergeCells count="1">
    <mergeCell ref="B4:E5"/>
  </mergeCells>
  <pageMargins left="0.7" right="0.7" top="0.75" bottom="0.75" header="0.3" footer="0.3"/>
  <pageSetup paperSize="9" scale="2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E3A8A-6B4B-40B4-8833-A19C4D733D88}">
  <sheetPr codeName="Arkusz2"/>
  <dimension ref="A1:BC89"/>
  <sheetViews>
    <sheetView topLeftCell="C1" zoomScale="70" zoomScaleNormal="70" workbookViewId="0">
      <selection activeCell="J2" sqref="J2"/>
    </sheetView>
  </sheetViews>
  <sheetFormatPr defaultRowHeight="12.75" x14ac:dyDescent="0.2"/>
  <cols>
    <col min="1" max="1" width="89.42578125" bestFit="1" customWidth="1"/>
    <col min="2" max="3" width="39.28515625" customWidth="1"/>
    <col min="4" max="4" width="14" bestFit="1" customWidth="1"/>
    <col min="6" max="6" width="13.7109375" customWidth="1"/>
    <col min="8" max="8" width="10.5703125" customWidth="1"/>
    <col min="9" max="9" width="11.42578125" customWidth="1"/>
    <col min="11" max="11" width="11.140625" customWidth="1"/>
    <col min="12" max="12" width="12.7109375" customWidth="1"/>
    <col min="13" max="13" width="12.140625" customWidth="1"/>
    <col min="14" max="14" width="12.85546875" customWidth="1"/>
    <col min="15" max="15" width="13.7109375" customWidth="1"/>
    <col min="16" max="16" width="15" customWidth="1"/>
    <col min="17" max="17" width="15.7109375" customWidth="1"/>
    <col min="18" max="18" width="27.140625" customWidth="1"/>
    <col min="23" max="23" width="5.85546875" customWidth="1"/>
    <col min="24" max="24" width="14.7109375" customWidth="1"/>
    <col min="28" max="28" width="15.7109375" customWidth="1"/>
    <col min="29" max="29" width="16.85546875" customWidth="1"/>
    <col min="31" max="31" width="15.28515625" customWidth="1"/>
    <col min="32" max="32" width="21.7109375" customWidth="1"/>
    <col min="33" max="33" width="14.5703125" customWidth="1"/>
    <col min="34" max="34" width="15.42578125" customWidth="1"/>
    <col min="35" max="35" width="16.140625" customWidth="1"/>
    <col min="36" max="36" width="21.28515625" customWidth="1"/>
    <col min="37" max="37" width="25.5703125" customWidth="1"/>
    <col min="38" max="38" width="33.42578125" customWidth="1"/>
    <col min="42" max="42" width="19.42578125" bestFit="1" customWidth="1"/>
  </cols>
  <sheetData>
    <row r="1" spans="1:33" x14ac:dyDescent="0.2">
      <c r="A1" t="s">
        <v>111</v>
      </c>
      <c r="B1" t="s">
        <v>112</v>
      </c>
      <c r="D1" t="s">
        <v>118</v>
      </c>
      <c r="E1" t="s">
        <v>171</v>
      </c>
      <c r="F1" t="s">
        <v>119</v>
      </c>
      <c r="G1" t="s">
        <v>120</v>
      </c>
      <c r="H1" t="s">
        <v>81</v>
      </c>
      <c r="J1" t="s">
        <v>172</v>
      </c>
      <c r="K1">
        <v>0</v>
      </c>
      <c r="L1">
        <v>1</v>
      </c>
      <c r="M1" t="s">
        <v>118</v>
      </c>
      <c r="N1">
        <f>D2</f>
        <v>0</v>
      </c>
      <c r="O1" s="50">
        <f>E59</f>
        <v>0.06</v>
      </c>
      <c r="P1" s="73">
        <f>$R$3*O1</f>
        <v>0</v>
      </c>
      <c r="Q1" s="73" t="e">
        <f>N1+IF($AC$24&gt;$R$24,$R$24,$AC$24)+IF($AC$67&gt;$R$67,$R$67,$AC$67)</f>
        <v>#N/A</v>
      </c>
      <c r="R1" t="s">
        <v>118</v>
      </c>
      <c r="S1" t="s">
        <v>171</v>
      </c>
      <c r="T1" t="s">
        <v>119</v>
      </c>
      <c r="U1" t="s">
        <v>120</v>
      </c>
      <c r="V1" t="s">
        <v>139</v>
      </c>
      <c r="AA1" s="1"/>
      <c r="AB1" s="1" t="s">
        <v>136</v>
      </c>
      <c r="AC1" s="1"/>
      <c r="AD1" s="1" t="s">
        <v>88</v>
      </c>
      <c r="AE1" s="1"/>
      <c r="AF1" s="1"/>
      <c r="AG1" s="1"/>
    </row>
    <row r="2" spans="1:33" x14ac:dyDescent="0.2">
      <c r="D2" s="73">
        <f>kosztorys!$F$4*Wyliczenia!$D$3</f>
        <v>0</v>
      </c>
      <c r="E2">
        <f>kosztorys!$F$4*Wyliczenia!E3+$V$2</f>
        <v>31134.6</v>
      </c>
      <c r="F2">
        <f>kosztorys!$F$4*Wyliczenia!F3+$V$2</f>
        <v>31134.6</v>
      </c>
      <c r="G2">
        <f>kosztorys!$F$4*Wyliczenia!G3+$V$2</f>
        <v>31134.6</v>
      </c>
      <c r="H2" t="s">
        <v>85</v>
      </c>
      <c r="I2">
        <v>0</v>
      </c>
      <c r="J2" t="s">
        <v>84</v>
      </c>
      <c r="K2">
        <f>$R$2*S15</f>
        <v>-324.31900000000002</v>
      </c>
      <c r="L2">
        <v>0.75</v>
      </c>
      <c r="M2" t="s">
        <v>171</v>
      </c>
      <c r="N2">
        <f>E2</f>
        <v>31134.6</v>
      </c>
      <c r="O2" s="50">
        <f>$S$4</f>
        <v>0.24</v>
      </c>
      <c r="P2" s="73">
        <f>$R$3*O2+$V$2</f>
        <v>31134.6</v>
      </c>
      <c r="Q2" s="73" t="e">
        <f t="shared" ref="Q2:Q5" si="0">N2+IF($AC$24&gt;$R$24,$R$24,$AC$24)+IF($AC$67&gt;$R$67,$R$67,$AC$67)</f>
        <v>#N/A</v>
      </c>
      <c r="R2">
        <f>ROUND(IF(kosztorys!$F$4=120,$AB$4,$AB$4*IF((1+(1-(kosztorys!$F$4/120))/3)&gt;T21,T21,IF((1+(1-(kosztorys!$F$4/120))/3)&lt;T20,T20,(1+(1-(kosztorys!$F$4/120))/3)))),2)</f>
        <v>6486.38</v>
      </c>
      <c r="S2">
        <f>$R$2*S4</f>
        <v>1556.7311999999999</v>
      </c>
      <c r="T2">
        <f>$R$2*T4</f>
        <v>843.22940000000006</v>
      </c>
      <c r="U2">
        <f>$R$2*U4</f>
        <v>972.95699999999999</v>
      </c>
      <c r="V2">
        <f>$AB$4*V4</f>
        <v>31134.6</v>
      </c>
      <c r="AA2" s="1"/>
      <c r="AB2" s="146">
        <v>4900</v>
      </c>
      <c r="AC2" s="1" t="s">
        <v>89</v>
      </c>
      <c r="AD2" s="146">
        <v>1.014</v>
      </c>
      <c r="AE2" s="1"/>
      <c r="AF2" s="1"/>
      <c r="AG2" s="1"/>
    </row>
    <row r="3" spans="1:33" x14ac:dyDescent="0.2">
      <c r="D3">
        <f>IFERROR($R$2+VLOOKUP(kosztorys!$F$6,Wyliczenia!$H$2:$I$3,2,TRUE)+VLOOKUP(kosztorys!$J$7,Wyliczenia!$J$1:$K$4,2,FALSE)+IF(kosztorys!$H$7&gt;=2,Wyliczenia!$I$5,0),0)</f>
        <v>0</v>
      </c>
      <c r="E3">
        <f>D3+S2</f>
        <v>1556.7311999999999</v>
      </c>
      <c r="F3">
        <f>E3+T2</f>
        <v>2399.9605999999999</v>
      </c>
      <c r="G3">
        <f>F3+U2</f>
        <v>3372.9175999999998</v>
      </c>
      <c r="H3" t="s">
        <v>28</v>
      </c>
      <c r="I3">
        <f>$R$2*S13</f>
        <v>389.18279999999999</v>
      </c>
      <c r="J3" t="s">
        <v>86</v>
      </c>
      <c r="K3">
        <f>$R$2*S16</f>
        <v>-518.91039999999998</v>
      </c>
      <c r="L3">
        <v>0.45</v>
      </c>
      <c r="M3" t="s">
        <v>119</v>
      </c>
      <c r="N3">
        <f>F2</f>
        <v>31134.6</v>
      </c>
      <c r="O3" s="50">
        <f>$S$4+$T$4</f>
        <v>0.37</v>
      </c>
      <c r="P3" s="73">
        <f t="shared" ref="P3:P5" si="1">$R$3*O3+$V$2</f>
        <v>31134.6</v>
      </c>
      <c r="Q3" s="73" t="e">
        <f t="shared" si="0"/>
        <v>#N/A</v>
      </c>
      <c r="R3">
        <f>R2*kosztorys!F4</f>
        <v>0</v>
      </c>
      <c r="AA3" s="1"/>
      <c r="AB3" s="1" t="s">
        <v>137</v>
      </c>
      <c r="AC3" s="1" t="s">
        <v>90</v>
      </c>
      <c r="AD3" s="146">
        <v>0.97199999999999998</v>
      </c>
      <c r="AE3" s="1"/>
      <c r="AF3" s="1"/>
      <c r="AG3" s="1"/>
    </row>
    <row r="4" spans="1:33" x14ac:dyDescent="0.2">
      <c r="J4" t="s">
        <v>74</v>
      </c>
      <c r="K4">
        <v>0</v>
      </c>
      <c r="L4">
        <v>0.25</v>
      </c>
      <c r="M4" t="s">
        <v>120</v>
      </c>
      <c r="N4">
        <f>G2</f>
        <v>31134.6</v>
      </c>
      <c r="O4" s="50">
        <f>$O$3+$U$4</f>
        <v>0.52</v>
      </c>
      <c r="P4" s="73">
        <f t="shared" si="1"/>
        <v>31134.6</v>
      </c>
      <c r="Q4" s="73" t="e">
        <f t="shared" si="0"/>
        <v>#N/A</v>
      </c>
      <c r="R4" s="45" t="s">
        <v>156</v>
      </c>
      <c r="S4" s="148">
        <v>0.24</v>
      </c>
      <c r="T4" s="148">
        <v>0.13</v>
      </c>
      <c r="U4" s="148">
        <v>0.15</v>
      </c>
      <c r="V4" s="148">
        <v>6</v>
      </c>
      <c r="AA4" s="1"/>
      <c r="AB4" s="147">
        <f>AB2*_xlfn.IFNA(IF(AND(EXACT(UPPER(kosztorys!I5),"WARSZAWA"),EXACT(kosztorys!G5,"mazowieckie")),Wyliczenia!AD18,VLOOKUP(kosztorys!G5,Wyliczenia!AC2:AD18,2,FALSE)),1)</f>
        <v>5189.0999999999995</v>
      </c>
      <c r="AC4" s="1" t="s">
        <v>91</v>
      </c>
      <c r="AD4" s="146">
        <v>0.94</v>
      </c>
      <c r="AE4" s="1"/>
      <c r="AF4" s="1"/>
      <c r="AG4" s="1"/>
    </row>
    <row r="5" spans="1:33" x14ac:dyDescent="0.2">
      <c r="D5" s="73"/>
      <c r="H5" t="s">
        <v>82</v>
      </c>
      <c r="I5">
        <f>$R$2*$S$14</f>
        <v>454.04660000000007</v>
      </c>
      <c r="M5" t="s">
        <v>121</v>
      </c>
      <c r="N5">
        <f>E2</f>
        <v>31134.6</v>
      </c>
      <c r="O5" s="82">
        <f>O3</f>
        <v>0.37</v>
      </c>
      <c r="P5" s="73">
        <f t="shared" si="1"/>
        <v>31134.6</v>
      </c>
      <c r="Q5" s="73" t="e">
        <f t="shared" si="0"/>
        <v>#N/A</v>
      </c>
      <c r="R5" s="45" t="s">
        <v>138</v>
      </c>
      <c r="S5" s="148">
        <v>0.22</v>
      </c>
      <c r="T5" s="148">
        <v>0.13</v>
      </c>
      <c r="U5" s="148">
        <v>0.15</v>
      </c>
      <c r="V5" s="148">
        <v>5</v>
      </c>
      <c r="AA5" s="1"/>
      <c r="AB5" s="1"/>
      <c r="AC5" s="1" t="s">
        <v>92</v>
      </c>
      <c r="AD5" s="146">
        <v>0.96299999999999997</v>
      </c>
      <c r="AE5" s="1"/>
      <c r="AF5" s="1"/>
      <c r="AG5" s="1"/>
    </row>
    <row r="6" spans="1:33" x14ac:dyDescent="0.2">
      <c r="Q6" s="44" t="s">
        <v>83</v>
      </c>
      <c r="R6" t="s">
        <v>140</v>
      </c>
      <c r="S6">
        <f>$R$2*S5</f>
        <v>1427.0036</v>
      </c>
      <c r="T6">
        <f>$R$2*T5</f>
        <v>843.22940000000006</v>
      </c>
      <c r="U6">
        <f>$R$2*U5</f>
        <v>972.95699999999999</v>
      </c>
      <c r="V6">
        <f>$R$2*V5</f>
        <v>32431.9</v>
      </c>
      <c r="AA6" s="1"/>
      <c r="AB6" s="1"/>
      <c r="AC6" s="1" t="s">
        <v>93</v>
      </c>
      <c r="AD6" s="146">
        <v>0.96</v>
      </c>
      <c r="AE6" s="1"/>
      <c r="AF6" s="1"/>
      <c r="AG6" s="1"/>
    </row>
    <row r="7" spans="1:33" ht="13.9" customHeight="1" x14ac:dyDescent="0.2">
      <c r="Q7" s="159" t="e">
        <f>R82</f>
        <v>#N/A</v>
      </c>
      <c r="R7">
        <v>0</v>
      </c>
      <c r="S7">
        <f>ROUND(kosztorys!$F$4*Wyliczenia!S6+Wyliczenia!$V$6,-3)</f>
        <v>32000</v>
      </c>
      <c r="T7">
        <f>ROUND(kosztorys!$F$4*Wyliczenia!T6+Wyliczenia!S7,-3)</f>
        <v>32000</v>
      </c>
      <c r="U7">
        <f>ROUND(kosztorys!$F$4*Wyliczenia!U6+Wyliczenia!T7,-3)</f>
        <v>32000</v>
      </c>
      <c r="V7" t="s">
        <v>143</v>
      </c>
      <c r="AA7" s="1"/>
      <c r="AB7" s="1"/>
      <c r="AC7" s="1" t="s">
        <v>94</v>
      </c>
      <c r="AD7" s="146">
        <v>1.0149999999999999</v>
      </c>
      <c r="AE7" s="1"/>
      <c r="AF7" s="1"/>
      <c r="AG7" s="1"/>
    </row>
    <row r="8" spans="1:33" x14ac:dyDescent="0.2">
      <c r="N8">
        <f>$N$1+S59</f>
        <v>0</v>
      </c>
      <c r="O8">
        <f t="shared" ref="O8:P8" si="2">$N$1+T59</f>
        <v>0</v>
      </c>
      <c r="P8">
        <f t="shared" si="2"/>
        <v>0</v>
      </c>
      <c r="R8" t="s">
        <v>141</v>
      </c>
      <c r="S8" t="e">
        <f>S7/kosztorys!$F$4</f>
        <v>#DIV/0!</v>
      </c>
      <c r="T8" t="e">
        <f>T7/kosztorys!$F$4</f>
        <v>#DIV/0!</v>
      </c>
      <c r="U8" t="e">
        <f>U7/kosztorys!$F$4</f>
        <v>#DIV/0!</v>
      </c>
      <c r="V8" t="s">
        <v>142</v>
      </c>
      <c r="AA8" s="1"/>
      <c r="AB8" s="1"/>
      <c r="AC8" s="1" t="s">
        <v>95</v>
      </c>
      <c r="AD8" s="146">
        <v>1.0589999999999999</v>
      </c>
      <c r="AE8" s="1"/>
      <c r="AF8" s="1"/>
      <c r="AG8" s="1"/>
    </row>
    <row r="9" spans="1:33" ht="13.15" customHeight="1" x14ac:dyDescent="0.2">
      <c r="N9" s="166">
        <f>N1+P2</f>
        <v>31134.6</v>
      </c>
      <c r="AA9" s="1"/>
      <c r="AB9" s="1"/>
      <c r="AC9" s="1" t="s">
        <v>96</v>
      </c>
      <c r="AD9" s="146">
        <v>1.0109999999999999</v>
      </c>
      <c r="AE9" s="1"/>
      <c r="AF9" s="1"/>
      <c r="AG9" s="1"/>
    </row>
    <row r="10" spans="1:33" ht="13.15" customHeight="1" x14ac:dyDescent="0.2">
      <c r="R10" s="45" t="s">
        <v>166</v>
      </c>
      <c r="S10" s="148">
        <v>0.15</v>
      </c>
      <c r="T10" t="s">
        <v>167</v>
      </c>
      <c r="AA10" s="1"/>
      <c r="AB10" s="1"/>
      <c r="AC10" s="1" t="s">
        <v>97</v>
      </c>
      <c r="AD10" s="146">
        <v>0.99299999999999999</v>
      </c>
      <c r="AE10" s="1"/>
      <c r="AF10" s="1"/>
      <c r="AG10" s="1"/>
    </row>
    <row r="11" spans="1:33" ht="13.15" customHeight="1" x14ac:dyDescent="0.2">
      <c r="R11" s="45" t="s">
        <v>146</v>
      </c>
      <c r="S11" s="148">
        <v>-0.15</v>
      </c>
      <c r="T11" t="s">
        <v>168</v>
      </c>
      <c r="AA11" s="1"/>
      <c r="AB11" s="1"/>
      <c r="AC11" s="1" t="s">
        <v>98</v>
      </c>
      <c r="AD11" s="146">
        <v>0.96799999999999997</v>
      </c>
      <c r="AE11" s="1"/>
      <c r="AF11" s="1"/>
      <c r="AG11" s="1"/>
    </row>
    <row r="12" spans="1:33" ht="13.15" customHeight="1" x14ac:dyDescent="0.2">
      <c r="AA12" s="1"/>
      <c r="AB12" s="1"/>
      <c r="AC12" s="1" t="s">
        <v>99</v>
      </c>
      <c r="AD12" s="146">
        <v>1.0109999999999999</v>
      </c>
      <c r="AE12" s="1"/>
      <c r="AF12" s="1"/>
      <c r="AG12" s="1"/>
    </row>
    <row r="13" spans="1:33" ht="13.15" customHeight="1" x14ac:dyDescent="0.2">
      <c r="R13" s="45" t="s">
        <v>150</v>
      </c>
      <c r="S13" s="148">
        <v>0.06</v>
      </c>
      <c r="AA13" s="1"/>
      <c r="AB13" s="1"/>
      <c r="AC13" s="1" t="s">
        <v>100</v>
      </c>
      <c r="AD13" s="146">
        <v>1.022</v>
      </c>
      <c r="AE13" s="1"/>
      <c r="AF13" s="1"/>
      <c r="AG13" s="1"/>
    </row>
    <row r="14" spans="1:33" ht="13.15" customHeight="1" x14ac:dyDescent="0.2">
      <c r="N14" s="45" t="s">
        <v>170</v>
      </c>
      <c r="O14" s="45"/>
      <c r="P14" s="45"/>
      <c r="Q14" s="45"/>
      <c r="R14" s="45" t="s">
        <v>152</v>
      </c>
      <c r="S14" s="148">
        <v>7.0000000000000007E-2</v>
      </c>
      <c r="AA14" s="1"/>
      <c r="AB14" s="1"/>
      <c r="AC14" s="1" t="s">
        <v>101</v>
      </c>
      <c r="AD14" s="146">
        <v>0.96099999999999997</v>
      </c>
      <c r="AE14" s="1"/>
      <c r="AF14" s="1"/>
      <c r="AG14" s="1"/>
    </row>
    <row r="15" spans="1:33" ht="13.15" customHeight="1" x14ac:dyDescent="0.2">
      <c r="R15" s="45" t="s">
        <v>151</v>
      </c>
      <c r="S15" s="148">
        <v>-0.05</v>
      </c>
      <c r="AA15" s="1"/>
      <c r="AB15" s="1"/>
      <c r="AC15" s="1" t="s">
        <v>102</v>
      </c>
      <c r="AD15" s="146">
        <v>0.95699999999999996</v>
      </c>
      <c r="AE15" s="1"/>
      <c r="AF15" s="1"/>
      <c r="AG15" s="1"/>
    </row>
    <row r="16" spans="1:33" x14ac:dyDescent="0.2">
      <c r="R16" s="45" t="s">
        <v>153</v>
      </c>
      <c r="S16" s="148">
        <v>-0.08</v>
      </c>
      <c r="AA16" s="1"/>
      <c r="AB16" s="1"/>
      <c r="AC16" s="1" t="s">
        <v>103</v>
      </c>
      <c r="AD16" s="146">
        <v>1.046</v>
      </c>
      <c r="AE16" s="1"/>
      <c r="AF16" s="1"/>
      <c r="AG16" s="1"/>
    </row>
    <row r="17" spans="1:55" ht="13.5" thickBot="1" x14ac:dyDescent="0.25">
      <c r="AA17" s="1"/>
      <c r="AB17" s="1" t="s">
        <v>12</v>
      </c>
      <c r="AC17" s="1" t="s">
        <v>104</v>
      </c>
      <c r="AD17" s="146">
        <v>1.056</v>
      </c>
      <c r="AE17" s="1"/>
      <c r="AF17" s="1"/>
      <c r="AG17" s="1"/>
    </row>
    <row r="18" spans="1:55" ht="12.75" customHeight="1" thickBot="1" x14ac:dyDescent="0.25">
      <c r="R18" s="160" t="s">
        <v>154</v>
      </c>
      <c r="S18" s="161">
        <v>0.2</v>
      </c>
      <c r="T18" t="s">
        <v>155</v>
      </c>
      <c r="AA18" s="1"/>
      <c r="AB18" s="1"/>
      <c r="AC18" s="1" t="s">
        <v>135</v>
      </c>
      <c r="AD18" s="146">
        <v>1.1259999999999999</v>
      </c>
      <c r="AE18" s="1"/>
      <c r="AF18" s="1"/>
      <c r="AG18" s="1"/>
    </row>
    <row r="19" spans="1:55" ht="12.75" customHeight="1" x14ac:dyDescent="0.2">
      <c r="AA19" s="1"/>
      <c r="AB19" s="1"/>
      <c r="AC19" s="1"/>
      <c r="AD19" s="1"/>
      <c r="AE19" s="1"/>
      <c r="AF19" s="1"/>
      <c r="AG19" s="1"/>
    </row>
    <row r="20" spans="1:55" ht="12.75" customHeight="1" x14ac:dyDescent="0.2">
      <c r="R20" s="45" t="s">
        <v>169</v>
      </c>
      <c r="S20" s="45"/>
      <c r="T20" s="45">
        <v>0.8</v>
      </c>
      <c r="AA20" s="1"/>
      <c r="AB20" s="1"/>
      <c r="AC20" s="1"/>
      <c r="AD20" s="1"/>
      <c r="AE20" s="1"/>
      <c r="AF20" s="1"/>
      <c r="AG20" s="1"/>
    </row>
    <row r="21" spans="1:55" x14ac:dyDescent="0.2">
      <c r="R21" s="45" t="s">
        <v>169</v>
      </c>
      <c r="S21" s="45"/>
      <c r="T21" s="45">
        <v>1.25</v>
      </c>
      <c r="AA21" s="1"/>
      <c r="AB21" s="1"/>
      <c r="AC21" s="1"/>
      <c r="AD21" s="1"/>
      <c r="AE21" s="1"/>
      <c r="AF21" s="1"/>
      <c r="AG21" s="1"/>
    </row>
    <row r="22" spans="1:55" x14ac:dyDescent="0.2">
      <c r="C22" t="s">
        <v>126</v>
      </c>
      <c r="AA22" s="1"/>
      <c r="AB22" s="71" t="s">
        <v>21</v>
      </c>
      <c r="AE22" s="1"/>
      <c r="AF22" s="1"/>
      <c r="AG22" s="1"/>
    </row>
    <row r="23" spans="1:55" ht="13.5" thickBot="1" x14ac:dyDescent="0.25">
      <c r="C23" t="s">
        <v>115</v>
      </c>
      <c r="D23" t="s">
        <v>87</v>
      </c>
      <c r="E23" t="s">
        <v>144</v>
      </c>
      <c r="G23" s="46"/>
      <c r="H23" s="46"/>
      <c r="I23" s="46"/>
      <c r="J23" s="47"/>
      <c r="K23" s="47"/>
      <c r="L23" s="47"/>
      <c r="R23" t="s">
        <v>145</v>
      </c>
      <c r="AA23" s="1"/>
      <c r="AB23" s="72"/>
      <c r="AC23" s="1" t="s">
        <v>22</v>
      </c>
      <c r="AD23" s="1"/>
      <c r="AE23" s="1"/>
      <c r="AF23" s="1" t="s">
        <v>130</v>
      </c>
      <c r="AG23" s="1" t="s">
        <v>122</v>
      </c>
      <c r="AH23" t="s">
        <v>123</v>
      </c>
    </row>
    <row r="24" spans="1:55" s="75" customFormat="1" ht="13.15" customHeight="1" thickBot="1" x14ac:dyDescent="0.25">
      <c r="A24" s="45" t="s">
        <v>10</v>
      </c>
      <c r="B24" s="45" t="s">
        <v>148</v>
      </c>
      <c r="C24" s="75" t="b">
        <f>F24</f>
        <v>0</v>
      </c>
      <c r="D24" s="81">
        <f>E24</f>
        <v>0.08</v>
      </c>
      <c r="E24" s="150">
        <v>0.08</v>
      </c>
      <c r="F24" s="75" t="b">
        <f>IF(AC24&gt;0,TRUE,IF(OR(EXACT(LEFT(kosztorys!$H$4,6),"Budowa"),EXACT(kosztorys!$H$4,"Przebudowa/Rozbudowa/Nadbudowa")),TRUE,FALSE))</f>
        <v>0</v>
      </c>
      <c r="G24" s="76"/>
      <c r="H24" s="77"/>
      <c r="I24" s="78"/>
      <c r="J24" s="78"/>
      <c r="K24" s="117"/>
      <c r="L24" s="117"/>
      <c r="P24" s="115"/>
      <c r="Q24" s="115"/>
      <c r="R24" s="115">
        <f>ROUND($AB$4*120*D24,-3)</f>
        <v>50000</v>
      </c>
      <c r="AA24" s="86">
        <f>IFERROR(AC24/kosztorys!$H$71,)</f>
        <v>0</v>
      </c>
      <c r="AB24" s="90">
        <f>IFERROR(AE24/kosztorys!$H$71,)</f>
        <v>0</v>
      </c>
      <c r="AC24" s="83">
        <f>SUM(kosztorys!H15:H19)</f>
        <v>0</v>
      </c>
      <c r="AD24" s="79"/>
      <c r="AE24" s="84">
        <f>SUM(AE25:AE29)</f>
        <v>0</v>
      </c>
      <c r="AF24" s="79" t="str">
        <f>CONCATENATE("Do wykonania prace za ",ROUND(AC24-AE24,2),"zł")</f>
        <v>Do wykonania prace za 0zł</v>
      </c>
      <c r="AG24" s="79" t="str">
        <f>CONCATENATE($AC24,"zł to ",ROUND(AA24*100,2),"%")</f>
        <v>0zł to 0%</v>
      </c>
      <c r="AH24" s="79" t="str">
        <f>CONCATENATE($AE24,"zł to ",ROUND(AB24*100,2),"%")</f>
        <v>0zł to 0%</v>
      </c>
      <c r="AI24" s="80" t="str">
        <f>kosztorys!H14</f>
        <v/>
      </c>
      <c r="AJ24" s="155" t="e">
        <f>ROUND(IFERROR(((Wyliczenia!AC24-IF(AC24&gt;R24,R24,AC24))/IF(AC24&gt;R24,R24,AC24)),""),3)</f>
        <v>#VALUE!</v>
      </c>
      <c r="AK24" s="162" t="str">
        <f>kosztorys!K14</f>
        <v/>
      </c>
    </row>
    <row r="25" spans="1:55" ht="13.15" customHeight="1" x14ac:dyDescent="0.2">
      <c r="A25" t="s">
        <v>5</v>
      </c>
      <c r="D25" s="50"/>
      <c r="G25" s="47"/>
      <c r="H25" s="47"/>
      <c r="I25" s="47"/>
      <c r="J25" s="47"/>
      <c r="K25" s="52"/>
      <c r="L25" s="52"/>
      <c r="P25" s="116"/>
      <c r="Q25" s="116"/>
      <c r="AA25" s="87"/>
      <c r="AB25" s="91"/>
      <c r="AC25" s="41"/>
      <c r="AD25" s="41"/>
      <c r="AE25" s="85">
        <f>kosztorys!H15*kosztorys!I15</f>
        <v>0</v>
      </c>
      <c r="AF25" s="41"/>
      <c r="AG25" s="41"/>
      <c r="AI25" s="73">
        <f>kosztorys!H15</f>
        <v>0</v>
      </c>
      <c r="AJ25" s="82">
        <f>kosztorys!I15</f>
        <v>0</v>
      </c>
      <c r="AK25" s="82">
        <f>kosztorys!K15</f>
        <v>0.1</v>
      </c>
    </row>
    <row r="26" spans="1:55" ht="13.15" customHeight="1" x14ac:dyDescent="0.2">
      <c r="A26" t="s">
        <v>6</v>
      </c>
      <c r="D26" s="50"/>
      <c r="G26" s="47"/>
      <c r="H26" s="47"/>
      <c r="I26" s="47"/>
      <c r="J26" s="47"/>
      <c r="K26" s="52"/>
      <c r="L26" s="52"/>
      <c r="P26" s="116"/>
      <c r="Q26" s="116"/>
      <c r="AA26" s="87"/>
      <c r="AB26" s="91"/>
      <c r="AC26" s="41"/>
      <c r="AD26" s="41"/>
      <c r="AE26" s="85">
        <f>kosztorys!H16*kosztorys!I16</f>
        <v>0</v>
      </c>
      <c r="AF26" s="41"/>
      <c r="AG26" s="41"/>
      <c r="AI26" s="73">
        <f>kosztorys!H16</f>
        <v>0</v>
      </c>
      <c r="AJ26" s="82">
        <f>kosztorys!I16</f>
        <v>0</v>
      </c>
      <c r="AK26" s="82">
        <f>kosztorys!K16</f>
        <v>0.5</v>
      </c>
      <c r="AQ26" s="45"/>
    </row>
    <row r="27" spans="1:55" s="57" customFormat="1" x14ac:dyDescent="0.2">
      <c r="A27" t="s">
        <v>7</v>
      </c>
      <c r="B27"/>
      <c r="C27"/>
      <c r="D27" s="50"/>
      <c r="E27"/>
      <c r="F27"/>
      <c r="G27" s="47"/>
      <c r="H27" s="47"/>
      <c r="I27" s="47"/>
      <c r="J27" s="47"/>
      <c r="K27" s="52"/>
      <c r="L27" s="52"/>
      <c r="M27"/>
      <c r="N27"/>
      <c r="O27"/>
      <c r="P27" s="116"/>
      <c r="Q27" s="116"/>
      <c r="R27"/>
      <c r="S27"/>
      <c r="T27"/>
      <c r="U27"/>
      <c r="V27"/>
      <c r="W27"/>
      <c r="X27"/>
      <c r="Y27"/>
      <c r="Z27"/>
      <c r="AA27" s="87"/>
      <c r="AB27" s="91"/>
      <c r="AC27" s="41"/>
      <c r="AD27" s="41"/>
      <c r="AE27" s="85">
        <f>kosztorys!H17*kosztorys!I17</f>
        <v>0</v>
      </c>
      <c r="AF27" s="41"/>
      <c r="AG27" s="41"/>
      <c r="AH27"/>
      <c r="AI27" s="73">
        <f>kosztorys!H17</f>
        <v>0</v>
      </c>
      <c r="AJ27" s="82">
        <f>kosztorys!I17</f>
        <v>0</v>
      </c>
      <c r="AK27" s="82">
        <f>kosztorys!K17</f>
        <v>0</v>
      </c>
      <c r="AL27"/>
      <c r="AM27"/>
      <c r="AN27"/>
      <c r="AO27"/>
      <c r="AP27"/>
      <c r="AQ27" s="45"/>
      <c r="AR27"/>
      <c r="AS27"/>
      <c r="AT27"/>
      <c r="AU27"/>
      <c r="AV27"/>
      <c r="AW27"/>
      <c r="AX27"/>
      <c r="AY27"/>
      <c r="AZ27"/>
      <c r="BA27"/>
      <c r="BB27"/>
      <c r="BC27"/>
    </row>
    <row r="28" spans="1:55" x14ac:dyDescent="0.2">
      <c r="A28" t="s">
        <v>8</v>
      </c>
      <c r="D28" s="50"/>
      <c r="G28" s="47"/>
      <c r="H28" s="47"/>
      <c r="I28" s="47"/>
      <c r="J28" s="47"/>
      <c r="K28" s="52"/>
      <c r="L28" s="52"/>
      <c r="P28" s="116"/>
      <c r="Q28" s="116"/>
      <c r="AA28" s="87"/>
      <c r="AB28" s="91"/>
      <c r="AC28" s="41"/>
      <c r="AD28" s="41"/>
      <c r="AE28" s="85">
        <f>kosztorys!H18*kosztorys!I18</f>
        <v>0</v>
      </c>
      <c r="AF28" s="41"/>
      <c r="AG28" s="41"/>
      <c r="AI28" s="73">
        <f>kosztorys!H18</f>
        <v>0</v>
      </c>
      <c r="AJ28" s="82">
        <f>kosztorys!I18</f>
        <v>0</v>
      </c>
      <c r="AK28" s="82">
        <f>kosztorys!K18</f>
        <v>0</v>
      </c>
      <c r="AQ28" s="45"/>
    </row>
    <row r="29" spans="1:55" ht="13.5" customHeight="1" thickBot="1" x14ac:dyDescent="0.25">
      <c r="A29" t="s">
        <v>24</v>
      </c>
      <c r="D29" s="50"/>
      <c r="G29" s="47"/>
      <c r="H29" s="47"/>
      <c r="I29" s="47"/>
      <c r="J29" s="47"/>
      <c r="K29" s="52"/>
      <c r="L29" s="52"/>
      <c r="P29" s="116"/>
      <c r="Q29" s="116"/>
      <c r="AA29" s="87"/>
      <c r="AB29" s="91"/>
      <c r="AC29" s="41"/>
      <c r="AD29" s="41"/>
      <c r="AE29" s="85">
        <f>kosztorys!H19*kosztorys!I19</f>
        <v>0</v>
      </c>
      <c r="AF29" s="41"/>
      <c r="AG29" s="41"/>
      <c r="AI29" s="73">
        <f>kosztorys!H19</f>
        <v>0</v>
      </c>
      <c r="AJ29" s="82">
        <f>kosztorys!I19</f>
        <v>0</v>
      </c>
      <c r="AK29" s="82">
        <f>kosztorys!K19</f>
        <v>0</v>
      </c>
      <c r="AQ29" s="45"/>
    </row>
    <row r="30" spans="1:55" s="75" customFormat="1" ht="13.5" thickBot="1" x14ac:dyDescent="0.25">
      <c r="A30" s="45" t="s">
        <v>9</v>
      </c>
      <c r="B30" s="45" t="s">
        <v>147</v>
      </c>
      <c r="C30" s="75" t="b">
        <f>F30</f>
        <v>0</v>
      </c>
      <c r="D30" s="81">
        <f>IF(EXACT(kosztorys!$F$6,"NIE"),E30,E30+4%)</f>
        <v>0.16</v>
      </c>
      <c r="E30" s="150">
        <v>0.12</v>
      </c>
      <c r="F30" s="75" t="b">
        <f>IF(AC30&gt;0,TRUE,IF(EXACT(kosztorys!$H$4,"Budowa"),TRUE,FALSE))</f>
        <v>0</v>
      </c>
      <c r="G30" s="76"/>
      <c r="H30" s="77"/>
      <c r="I30" s="78"/>
      <c r="J30" s="78"/>
      <c r="K30" s="117"/>
      <c r="L30" s="117"/>
      <c r="P30" s="115"/>
      <c r="Q30" s="115"/>
      <c r="R30" s="115">
        <f>ROUND($D$2*D30,-3)</f>
        <v>0</v>
      </c>
      <c r="AA30" s="86">
        <f>IFERROR(AC30/kosztorys!$H$71,)</f>
        <v>0</v>
      </c>
      <c r="AB30" s="90">
        <f>IFERROR(AE30/kosztorys!$H$71,)</f>
        <v>0</v>
      </c>
      <c r="AC30" s="83">
        <f>SUM(kosztorys!H21:H25)</f>
        <v>0</v>
      </c>
      <c r="AD30" s="79"/>
      <c r="AE30" s="84">
        <f>SUM(AE31:AE35)</f>
        <v>0</v>
      </c>
      <c r="AF30" s="79" t="str">
        <f>CONCATENATE("Do wykonania prace za ",ROUND(AC30-AE30,2),"zł")</f>
        <v>Do wykonania prace za 0zł</v>
      </c>
      <c r="AG30" s="79" t="str">
        <f>CONCATENATE($AC30,"zł to ",ROUND(AA30*100,2),"%")</f>
        <v>0zł to 0%</v>
      </c>
      <c r="AH30" s="79" t="str">
        <f>CONCATENATE($AE30,"zł to ",ROUND(AB30*100,2),"%")</f>
        <v>0zł to 0%</v>
      </c>
      <c r="AI30" s="80" t="str">
        <f>kosztorys!H20</f>
        <v/>
      </c>
      <c r="AJ30" s="165" t="str">
        <f>IFERROR(ROUND(((Wyliczenia!AC30-Wyliczenia!R30)/Wyliczenia!R30),3),"")</f>
        <v/>
      </c>
      <c r="AK30" s="162" t="str">
        <f>kosztorys!K20</f>
        <v/>
      </c>
    </row>
    <row r="31" spans="1:55" ht="12.75" customHeight="1" x14ac:dyDescent="0.2">
      <c r="A31" t="s">
        <v>1</v>
      </c>
      <c r="D31" s="50"/>
      <c r="G31" s="47"/>
      <c r="H31" s="47"/>
      <c r="I31" s="47"/>
      <c r="J31" s="47"/>
      <c r="K31" s="52"/>
      <c r="L31" s="52"/>
      <c r="P31" s="116"/>
      <c r="Q31" s="116"/>
      <c r="AA31" s="87"/>
      <c r="AB31" s="91"/>
      <c r="AC31" s="41"/>
      <c r="AD31" s="41"/>
      <c r="AE31" s="85">
        <f>kosztorys!H21*kosztorys!I21</f>
        <v>0</v>
      </c>
      <c r="AF31" s="41"/>
      <c r="AG31" s="41"/>
      <c r="AI31" s="73">
        <f>kosztorys!H21</f>
        <v>0</v>
      </c>
      <c r="AJ31" s="82">
        <f>kosztorys!I21</f>
        <v>0</v>
      </c>
      <c r="AK31" s="82">
        <f>kosztorys!K21</f>
        <v>0.1</v>
      </c>
      <c r="AQ31" s="45"/>
    </row>
    <row r="32" spans="1:55" x14ac:dyDescent="0.2">
      <c r="A32" t="s">
        <v>26</v>
      </c>
      <c r="D32" s="50"/>
      <c r="G32" s="47"/>
      <c r="H32" s="47"/>
      <c r="I32" s="47"/>
      <c r="J32" s="47"/>
      <c r="K32" s="52"/>
      <c r="L32" s="52"/>
      <c r="P32" s="116"/>
      <c r="Q32" s="116"/>
      <c r="AA32" s="87"/>
      <c r="AB32" s="91"/>
      <c r="AC32" s="41"/>
      <c r="AD32" s="41"/>
      <c r="AE32" s="85">
        <f>kosztorys!H22*kosztorys!I22</f>
        <v>0</v>
      </c>
      <c r="AF32" s="41"/>
      <c r="AG32" s="41"/>
      <c r="AI32" s="73">
        <f>kosztorys!H22</f>
        <v>0</v>
      </c>
      <c r="AJ32" s="82">
        <f>kosztorys!I22</f>
        <v>0</v>
      </c>
      <c r="AK32" s="82">
        <f>kosztorys!K22</f>
        <v>0</v>
      </c>
      <c r="AQ32" s="45"/>
    </row>
    <row r="33" spans="1:55" s="57" customFormat="1" ht="12.75" customHeight="1" x14ac:dyDescent="0.2">
      <c r="A33" t="s">
        <v>23</v>
      </c>
      <c r="B33"/>
      <c r="C33"/>
      <c r="D33" s="50"/>
      <c r="E33"/>
      <c r="F33"/>
      <c r="G33" s="47"/>
      <c r="H33" s="47"/>
      <c r="I33" s="47"/>
      <c r="J33" s="47"/>
      <c r="K33" s="52"/>
      <c r="L33" s="52"/>
      <c r="M33"/>
      <c r="N33"/>
      <c r="O33"/>
      <c r="P33" s="116"/>
      <c r="Q33" s="116"/>
      <c r="R33"/>
      <c r="S33"/>
      <c r="T33"/>
      <c r="U33"/>
      <c r="V33"/>
      <c r="W33"/>
      <c r="X33"/>
      <c r="Y33"/>
      <c r="Z33"/>
      <c r="AA33" s="87"/>
      <c r="AB33" s="91"/>
      <c r="AC33" s="41"/>
      <c r="AD33" s="41"/>
      <c r="AE33" s="85">
        <f>kosztorys!H23*kosztorys!I23</f>
        <v>0</v>
      </c>
      <c r="AF33" s="41"/>
      <c r="AG33" s="41"/>
      <c r="AH33"/>
      <c r="AI33" s="73">
        <f>kosztorys!H23</f>
        <v>0</v>
      </c>
      <c r="AJ33" s="82">
        <f>kosztorys!I23</f>
        <v>0</v>
      </c>
      <c r="AK33" s="82">
        <f>kosztorys!K23</f>
        <v>0</v>
      </c>
      <c r="AL33"/>
      <c r="AM33"/>
      <c r="AN33"/>
      <c r="AO33"/>
      <c r="AP33"/>
      <c r="AQ33" s="45"/>
      <c r="AR33"/>
      <c r="AS33"/>
      <c r="AT33"/>
      <c r="AU33"/>
      <c r="AV33"/>
      <c r="AW33"/>
      <c r="AX33"/>
      <c r="AY33"/>
      <c r="AZ33"/>
      <c r="BA33"/>
      <c r="BB33"/>
      <c r="BC33"/>
    </row>
    <row r="34" spans="1:55" ht="12.75" customHeight="1" x14ac:dyDescent="0.2">
      <c r="A34" t="s">
        <v>77</v>
      </c>
      <c r="D34" s="50"/>
      <c r="G34" s="47"/>
      <c r="H34" s="47"/>
      <c r="I34" s="47"/>
      <c r="J34" s="47"/>
      <c r="K34" s="52"/>
      <c r="L34" s="52"/>
      <c r="P34" s="116"/>
      <c r="Q34" s="116"/>
      <c r="AA34" s="87"/>
      <c r="AB34" s="91"/>
      <c r="AC34" s="41"/>
      <c r="AD34" s="41"/>
      <c r="AE34" s="85">
        <f>kosztorys!H24*kosztorys!I24</f>
        <v>0</v>
      </c>
      <c r="AF34" s="41"/>
      <c r="AG34" s="41"/>
      <c r="AI34" s="73">
        <f>kosztorys!H24</f>
        <v>0</v>
      </c>
      <c r="AJ34" s="82">
        <f>kosztorys!I24</f>
        <v>0</v>
      </c>
      <c r="AK34" s="82">
        <f>kosztorys!K24</f>
        <v>0</v>
      </c>
      <c r="AQ34" s="45"/>
    </row>
    <row r="35" spans="1:55" ht="13.5" thickBot="1" x14ac:dyDescent="0.25">
      <c r="A35" t="s">
        <v>56</v>
      </c>
      <c r="D35" s="50"/>
      <c r="G35" s="48"/>
      <c r="H35" s="49"/>
      <c r="I35" s="47"/>
      <c r="J35" s="47"/>
      <c r="K35" s="52"/>
      <c r="L35" s="52"/>
      <c r="P35" s="116"/>
      <c r="Q35" s="116"/>
      <c r="AA35" s="87"/>
      <c r="AB35" s="92"/>
      <c r="AC35" s="41"/>
      <c r="AD35" s="41"/>
      <c r="AE35" s="85">
        <f>kosztorys!H25*kosztorys!I25</f>
        <v>0</v>
      </c>
      <c r="AF35" s="41"/>
      <c r="AG35" s="41"/>
      <c r="AI35" s="73">
        <f>kosztorys!H25</f>
        <v>0</v>
      </c>
      <c r="AJ35" s="82">
        <f>kosztorys!I25</f>
        <v>0</v>
      </c>
      <c r="AK35" s="82">
        <f>kosztorys!K25</f>
        <v>0</v>
      </c>
      <c r="AQ35" s="45"/>
    </row>
    <row r="36" spans="1:55" s="75" customFormat="1" ht="13.5" thickBot="1" x14ac:dyDescent="0.25">
      <c r="A36" s="45" t="s">
        <v>11</v>
      </c>
      <c r="B36" s="45" t="s">
        <v>147</v>
      </c>
      <c r="C36" s="75" t="b">
        <f>OR(C30,F36)</f>
        <v>0</v>
      </c>
      <c r="D36" s="81">
        <f>IF(EXACT(kosztorys!$F$6,"NIE"),E36,E36-2%)</f>
        <v>0.3</v>
      </c>
      <c r="E36" s="150">
        <v>0.32</v>
      </c>
      <c r="F36" s="75" t="b">
        <f>IF(AC36&gt;0,TRUE,IF(EXACT(kosztorys!$H$4,"Budowa"),TRUE,FALSE))</f>
        <v>0</v>
      </c>
      <c r="G36" s="78"/>
      <c r="H36" s="78"/>
      <c r="I36" s="78"/>
      <c r="J36" s="78"/>
      <c r="K36" s="117"/>
      <c r="L36" s="117"/>
      <c r="P36" s="115"/>
      <c r="Q36" s="115"/>
      <c r="R36" s="115">
        <f>ROUND($D$2*D36,-3)</f>
        <v>0</v>
      </c>
      <c r="AA36" s="86">
        <f>IFERROR(AC36/kosztorys!$H$71,)</f>
        <v>0</v>
      </c>
      <c r="AB36" s="90">
        <f>IFERROR(AE36/kosztorys!$H$71,)</f>
        <v>0</v>
      </c>
      <c r="AC36" s="83">
        <f>SUM(kosztorys!H27:H31)</f>
        <v>0</v>
      </c>
      <c r="AD36" s="79"/>
      <c r="AE36" s="84">
        <f>SUM(AE37:AE41)</f>
        <v>0</v>
      </c>
      <c r="AF36" s="79" t="str">
        <f>CONCATENATE("Do wykonania prace za ",ROUND(AC36-AE36,2),"zł")</f>
        <v>Do wykonania prace za 0zł</v>
      </c>
      <c r="AG36" s="79" t="str">
        <f>CONCATENATE($AC36,"zł to ",ROUND(AA36*100,2),"%")</f>
        <v>0zł to 0%</v>
      </c>
      <c r="AH36" s="79" t="str">
        <f>CONCATENATE($AE36,"zł to ",ROUND(AB36*100,2),"%")</f>
        <v>0zł to 0%</v>
      </c>
      <c r="AI36" s="80" t="str">
        <f>kosztorys!H26</f>
        <v/>
      </c>
      <c r="AJ36" s="165" t="str">
        <f>IFERROR(ROUND(((Wyliczenia!AC36-Wyliczenia!R36)/Wyliczenia!R36),3),"")</f>
        <v/>
      </c>
      <c r="AK36" s="162" t="str">
        <f>kosztorys!K26</f>
        <v/>
      </c>
    </row>
    <row r="37" spans="1:55" x14ac:dyDescent="0.2">
      <c r="A37" t="s">
        <v>15</v>
      </c>
      <c r="D37" s="50"/>
      <c r="G37" s="47"/>
      <c r="H37" s="47"/>
      <c r="I37" s="47"/>
      <c r="J37" s="47"/>
      <c r="K37" s="52"/>
      <c r="L37" s="52"/>
      <c r="P37" s="116"/>
      <c r="Q37" s="116"/>
      <c r="AA37" s="87"/>
      <c r="AB37" s="91"/>
      <c r="AC37" s="41"/>
      <c r="AD37" s="41"/>
      <c r="AE37" s="85">
        <f>kosztorys!H27*kosztorys!I27</f>
        <v>0</v>
      </c>
      <c r="AF37" s="41"/>
      <c r="AG37" s="41"/>
      <c r="AI37" s="73">
        <f>kosztorys!H27</f>
        <v>0</v>
      </c>
      <c r="AJ37" s="82">
        <f>kosztorys!I27</f>
        <v>0</v>
      </c>
      <c r="AK37" s="82">
        <f>kosztorys!K27</f>
        <v>0</v>
      </c>
      <c r="AQ37" s="45"/>
    </row>
    <row r="38" spans="1:55" ht="12.75" customHeight="1" x14ac:dyDescent="0.2">
      <c r="A38" t="s">
        <v>51</v>
      </c>
      <c r="D38" s="50"/>
      <c r="G38" s="47"/>
      <c r="H38" s="47"/>
      <c r="I38" s="47"/>
      <c r="J38" s="47"/>
      <c r="K38" s="52"/>
      <c r="L38" s="52"/>
      <c r="P38" s="116"/>
      <c r="Q38" s="116"/>
      <c r="AA38" s="87"/>
      <c r="AB38" s="91"/>
      <c r="AC38" s="41"/>
      <c r="AD38" s="41"/>
      <c r="AE38" s="85">
        <f>kosztorys!H28*kosztorys!I28</f>
        <v>0</v>
      </c>
      <c r="AF38" s="41"/>
      <c r="AG38" s="41"/>
      <c r="AI38" s="73">
        <f>kosztorys!H28</f>
        <v>0</v>
      </c>
      <c r="AJ38" s="82">
        <f>kosztorys!I28</f>
        <v>0</v>
      </c>
      <c r="AK38" s="82">
        <f>kosztorys!K28</f>
        <v>0.79</v>
      </c>
      <c r="AQ38" s="45"/>
    </row>
    <row r="39" spans="1:55" ht="13.15" customHeight="1" x14ac:dyDescent="0.2">
      <c r="A39" t="s">
        <v>50</v>
      </c>
      <c r="D39" s="50"/>
      <c r="G39" s="47"/>
      <c r="H39" s="47"/>
      <c r="I39" s="47"/>
      <c r="J39" s="47"/>
      <c r="K39" s="52"/>
      <c r="L39" s="52"/>
      <c r="P39" s="116"/>
      <c r="Q39" s="116"/>
      <c r="AA39" s="87"/>
      <c r="AB39" s="91"/>
      <c r="AC39" s="41"/>
      <c r="AD39" s="41"/>
      <c r="AE39" s="85">
        <f>kosztorys!H29*kosztorys!I29</f>
        <v>0</v>
      </c>
      <c r="AF39" s="41"/>
      <c r="AG39" s="41"/>
      <c r="AI39" s="73">
        <f>kosztorys!H29</f>
        <v>0</v>
      </c>
      <c r="AJ39" s="82">
        <f>kosztorys!I29</f>
        <v>0</v>
      </c>
      <c r="AK39" s="82">
        <f>kosztorys!K29</f>
        <v>0</v>
      </c>
      <c r="AQ39" s="45"/>
    </row>
    <row r="40" spans="1:55" ht="12.75" customHeight="1" x14ac:dyDescent="0.2">
      <c r="A40" t="s">
        <v>70</v>
      </c>
      <c r="D40" s="50"/>
      <c r="G40" s="48"/>
      <c r="H40" s="49"/>
      <c r="I40" s="47"/>
      <c r="J40" s="47"/>
      <c r="K40" s="52"/>
      <c r="L40" s="52"/>
      <c r="O40" s="51"/>
      <c r="P40" s="116"/>
      <c r="Q40" s="116"/>
      <c r="AA40" s="87"/>
      <c r="AB40" s="91"/>
      <c r="AC40" s="41"/>
      <c r="AD40" s="41"/>
      <c r="AE40" s="85">
        <f>kosztorys!H30*kosztorys!I30</f>
        <v>0</v>
      </c>
      <c r="AF40" s="41"/>
      <c r="AG40" s="41"/>
      <c r="AI40" s="73">
        <f>kosztorys!H30</f>
        <v>0</v>
      </c>
      <c r="AJ40" s="82">
        <f>kosztorys!I30</f>
        <v>0</v>
      </c>
      <c r="AK40" s="82">
        <f>kosztorys!K30</f>
        <v>0</v>
      </c>
      <c r="AQ40" s="45"/>
    </row>
    <row r="41" spans="1:55" ht="13.5" thickBot="1" x14ac:dyDescent="0.25">
      <c r="A41" t="s">
        <v>56</v>
      </c>
      <c r="D41" s="50"/>
      <c r="G41" s="47"/>
      <c r="H41" s="47"/>
      <c r="I41" s="47"/>
      <c r="J41" s="47"/>
      <c r="K41" s="52"/>
      <c r="L41" s="52"/>
      <c r="P41" s="116"/>
      <c r="Q41" s="116"/>
      <c r="AA41" s="87"/>
      <c r="AB41" s="92"/>
      <c r="AC41" s="41"/>
      <c r="AD41" s="41"/>
      <c r="AE41" s="85">
        <f>kosztorys!H31*kosztorys!I31</f>
        <v>0</v>
      </c>
      <c r="AF41" s="41"/>
      <c r="AG41" s="41"/>
      <c r="AI41" s="73">
        <f>kosztorys!H31</f>
        <v>0</v>
      </c>
      <c r="AJ41" s="82">
        <f>kosztorys!I31</f>
        <v>0</v>
      </c>
      <c r="AK41" s="82">
        <f>kosztorys!K31</f>
        <v>0</v>
      </c>
      <c r="AQ41" s="45"/>
    </row>
    <row r="42" spans="1:55" s="75" customFormat="1" ht="13.5" customHeight="1" thickBot="1" x14ac:dyDescent="0.25">
      <c r="A42" s="45" t="s">
        <v>71</v>
      </c>
      <c r="B42" s="45" t="s">
        <v>147</v>
      </c>
      <c r="C42" s="75" t="b">
        <f>F42</f>
        <v>0</v>
      </c>
      <c r="D42" s="81">
        <f>IF(EXACT(kosztorys!$F$6,"NIE"),E42,E42-2%)</f>
        <v>0.3</v>
      </c>
      <c r="E42" s="150">
        <v>0.32</v>
      </c>
      <c r="F42" s="75" t="b">
        <f>IF(AC42&gt;0,TRUE,IF(EXACT(kosztorys!$H$4,"Budowa"),TRUE,FALSE))</f>
        <v>0</v>
      </c>
      <c r="G42" s="78"/>
      <c r="H42" s="78"/>
      <c r="I42" s="78"/>
      <c r="J42" s="78"/>
      <c r="K42" s="117"/>
      <c r="L42" s="117"/>
      <c r="P42" s="115"/>
      <c r="Q42" s="115"/>
      <c r="R42" s="115">
        <f>ROUND($D$2*D42,-3)</f>
        <v>0</v>
      </c>
      <c r="AA42" s="86">
        <f>IFERROR(AC42/kosztorys!$H$71,)</f>
        <v>0</v>
      </c>
      <c r="AB42" s="90">
        <f>IFERROR(AE42/kosztorys!$H$71,)</f>
        <v>0</v>
      </c>
      <c r="AC42" s="83">
        <f>SUM(kosztorys!H33:H40)</f>
        <v>0</v>
      </c>
      <c r="AD42" s="79"/>
      <c r="AE42" s="84">
        <f>SUM(AE43:AE50)</f>
        <v>0</v>
      </c>
      <c r="AF42" s="79" t="str">
        <f>CONCATENATE("Do wykonania prace za ",ROUND(AC42-AE42,2),"zł")</f>
        <v>Do wykonania prace za 0zł</v>
      </c>
      <c r="AG42" s="79" t="str">
        <f>CONCATENATE($AC42,"zł to ",ROUND(AA42*100,2),"%")</f>
        <v>0zł to 0%</v>
      </c>
      <c r="AH42" s="79" t="str">
        <f>CONCATENATE($AE42,"zł to ",ROUND(AB42*100,2),"%")</f>
        <v>0zł to 0%</v>
      </c>
      <c r="AI42" s="80" t="str">
        <f>kosztorys!H32</f>
        <v/>
      </c>
      <c r="AJ42" s="165" t="str">
        <f>IFERROR(ROUND(((Wyliczenia!AC42-Wyliczenia!R42)/Wyliczenia!R42),3),"")</f>
        <v/>
      </c>
      <c r="AK42" s="162" t="str">
        <f>kosztorys!K32</f>
        <v/>
      </c>
    </row>
    <row r="43" spans="1:55" ht="13.15" customHeight="1" x14ac:dyDescent="0.2">
      <c r="A43" t="s">
        <v>53</v>
      </c>
      <c r="D43" s="50"/>
      <c r="G43" s="47"/>
      <c r="H43" s="47"/>
      <c r="I43" s="47"/>
      <c r="J43" s="47"/>
      <c r="K43" s="52"/>
      <c r="L43" s="52"/>
      <c r="P43" s="116"/>
      <c r="Q43" s="116"/>
      <c r="AA43" s="87"/>
      <c r="AB43" s="91"/>
      <c r="AC43" s="41"/>
      <c r="AD43" s="41"/>
      <c r="AE43" s="85">
        <f>kosztorys!H33*kosztorys!I33</f>
        <v>0</v>
      </c>
      <c r="AF43" s="41"/>
      <c r="AG43" s="41"/>
      <c r="AI43" s="73">
        <f>kosztorys!H33</f>
        <v>0</v>
      </c>
      <c r="AJ43" s="82">
        <f>kosztorys!I33</f>
        <v>0</v>
      </c>
      <c r="AK43" s="82">
        <f>kosztorys!K33</f>
        <v>0</v>
      </c>
    </row>
    <row r="44" spans="1:55" x14ac:dyDescent="0.2">
      <c r="A44" t="s">
        <v>65</v>
      </c>
      <c r="D44" s="50"/>
      <c r="G44" s="47"/>
      <c r="H44" s="47"/>
      <c r="I44" s="47"/>
      <c r="J44" s="47"/>
      <c r="K44" s="52"/>
      <c r="L44" s="52"/>
      <c r="P44" s="116"/>
      <c r="Q44" s="116"/>
      <c r="AA44" s="87"/>
      <c r="AB44" s="91"/>
      <c r="AC44" s="41"/>
      <c r="AD44" s="41"/>
      <c r="AE44" s="85">
        <f>kosztorys!H34*kosztorys!I34</f>
        <v>0</v>
      </c>
      <c r="AF44" s="41"/>
      <c r="AG44" s="41"/>
      <c r="AI44" s="73">
        <f>kosztorys!H34</f>
        <v>0</v>
      </c>
      <c r="AJ44" s="82">
        <f>kosztorys!I34</f>
        <v>0</v>
      </c>
      <c r="AK44" s="82">
        <f>kosztorys!K34</f>
        <v>0</v>
      </c>
    </row>
    <row r="45" spans="1:55" x14ac:dyDescent="0.2">
      <c r="A45" t="s">
        <v>3</v>
      </c>
      <c r="D45" s="50"/>
      <c r="G45" s="47"/>
      <c r="H45" s="47"/>
      <c r="I45" s="47"/>
      <c r="J45" s="47"/>
      <c r="K45" s="52"/>
      <c r="L45" s="52"/>
      <c r="P45" s="116"/>
      <c r="Q45" s="116"/>
      <c r="AA45" s="87"/>
      <c r="AB45" s="91"/>
      <c r="AC45" s="41"/>
      <c r="AD45" s="41"/>
      <c r="AE45" s="85">
        <f>kosztorys!H35*kosztorys!I35</f>
        <v>0</v>
      </c>
      <c r="AF45" s="41"/>
      <c r="AG45" s="41"/>
      <c r="AI45" s="73">
        <f>kosztorys!H35</f>
        <v>0</v>
      </c>
      <c r="AJ45" s="82">
        <f>kosztorys!I35</f>
        <v>0</v>
      </c>
      <c r="AK45" s="82">
        <f>kosztorys!K35</f>
        <v>0</v>
      </c>
    </row>
    <row r="46" spans="1:55" x14ac:dyDescent="0.2">
      <c r="A46" t="s">
        <v>66</v>
      </c>
      <c r="D46" s="50"/>
      <c r="G46" s="47"/>
      <c r="H46" s="47"/>
      <c r="I46" s="47"/>
      <c r="J46" s="47"/>
      <c r="K46" s="52"/>
      <c r="L46" s="52"/>
      <c r="P46" s="116"/>
      <c r="Q46" s="116"/>
      <c r="AA46" s="87"/>
      <c r="AB46" s="91"/>
      <c r="AC46" s="41"/>
      <c r="AD46" s="41"/>
      <c r="AE46" s="85">
        <f>kosztorys!H36*kosztorys!I36</f>
        <v>0</v>
      </c>
      <c r="AF46" s="41"/>
      <c r="AG46" s="41"/>
      <c r="AI46" s="73">
        <f>kosztorys!H36</f>
        <v>0</v>
      </c>
      <c r="AJ46" s="82">
        <f>kosztorys!I36</f>
        <v>0</v>
      </c>
      <c r="AK46" s="82">
        <f>kosztorys!K36</f>
        <v>0</v>
      </c>
    </row>
    <row r="47" spans="1:55" x14ac:dyDescent="0.2">
      <c r="A47" t="s">
        <v>14</v>
      </c>
      <c r="D47" s="50"/>
      <c r="G47" s="47"/>
      <c r="H47" s="47"/>
      <c r="I47" s="47"/>
      <c r="J47" s="47"/>
      <c r="K47" s="52"/>
      <c r="L47" s="52"/>
      <c r="P47" s="116"/>
      <c r="Q47" s="116"/>
      <c r="AA47" s="87"/>
      <c r="AB47" s="91"/>
      <c r="AC47" s="41"/>
      <c r="AD47" s="41"/>
      <c r="AE47" s="85">
        <f>kosztorys!H37*kosztorys!I37</f>
        <v>0</v>
      </c>
      <c r="AF47" s="41"/>
      <c r="AG47" s="41"/>
      <c r="AI47" s="73">
        <f>kosztorys!H37</f>
        <v>0</v>
      </c>
      <c r="AJ47" s="82">
        <f>kosztorys!I37</f>
        <v>0</v>
      </c>
      <c r="AK47" s="82">
        <f>kosztorys!K37</f>
        <v>0</v>
      </c>
    </row>
    <row r="48" spans="1:55" x14ac:dyDescent="0.2">
      <c r="A48" t="s">
        <v>63</v>
      </c>
      <c r="D48" s="50"/>
      <c r="G48" s="47"/>
      <c r="H48" s="47"/>
      <c r="I48" s="47"/>
      <c r="J48" s="47"/>
      <c r="K48" s="52"/>
      <c r="L48" s="52"/>
      <c r="P48" s="116"/>
      <c r="Q48" s="116"/>
      <c r="AA48" s="87"/>
      <c r="AB48" s="92"/>
      <c r="AC48" s="41"/>
      <c r="AD48" s="41"/>
      <c r="AE48" s="85">
        <f>kosztorys!H38*kosztorys!I38</f>
        <v>0</v>
      </c>
      <c r="AF48" s="41"/>
      <c r="AG48" s="41"/>
      <c r="AI48" s="73">
        <f>kosztorys!H38</f>
        <v>0</v>
      </c>
      <c r="AJ48" s="82">
        <f>kosztorys!I38</f>
        <v>0</v>
      </c>
      <c r="AK48" s="82">
        <f>kosztorys!K38</f>
        <v>0</v>
      </c>
    </row>
    <row r="49" spans="1:55" x14ac:dyDescent="0.2">
      <c r="A49" t="s">
        <v>54</v>
      </c>
      <c r="D49" s="50"/>
      <c r="G49" s="48"/>
      <c r="H49" s="49"/>
      <c r="I49" s="47"/>
      <c r="J49" s="47"/>
      <c r="K49" s="52"/>
      <c r="L49" s="52"/>
      <c r="P49" s="116"/>
      <c r="Q49" s="116"/>
      <c r="AA49" s="87"/>
      <c r="AB49" s="91"/>
      <c r="AC49" s="41"/>
      <c r="AD49" s="41"/>
      <c r="AE49" s="85">
        <f>kosztorys!H39*kosztorys!I39</f>
        <v>0</v>
      </c>
      <c r="AF49" s="41"/>
      <c r="AG49" s="41"/>
      <c r="AI49" s="73">
        <f>kosztorys!H39</f>
        <v>0</v>
      </c>
      <c r="AJ49" s="82">
        <f>kosztorys!I39</f>
        <v>0</v>
      </c>
      <c r="AK49" s="82">
        <f>kosztorys!K39</f>
        <v>0</v>
      </c>
    </row>
    <row r="50" spans="1:55" s="57" customFormat="1" ht="13.5" thickBot="1" x14ac:dyDescent="0.25">
      <c r="A50" t="s">
        <v>56</v>
      </c>
      <c r="B50"/>
      <c r="C50"/>
      <c r="D50" s="50"/>
      <c r="E50"/>
      <c r="F50"/>
      <c r="G50" s="47"/>
      <c r="H50" s="47"/>
      <c r="I50" s="47"/>
      <c r="J50" s="47"/>
      <c r="K50" s="52"/>
      <c r="L50" s="52"/>
      <c r="M50"/>
      <c r="N50"/>
      <c r="O50"/>
      <c r="P50" s="116"/>
      <c r="Q50" s="116"/>
      <c r="R50"/>
      <c r="S50"/>
      <c r="T50"/>
      <c r="U50"/>
      <c r="V50"/>
      <c r="W50"/>
      <c r="X50"/>
      <c r="Y50"/>
      <c r="Z50"/>
      <c r="AA50" s="87"/>
      <c r="AB50" s="91"/>
      <c r="AC50" s="41"/>
      <c r="AD50" s="41"/>
      <c r="AE50" s="85">
        <f>kosztorys!H40*kosztorys!I40</f>
        <v>0</v>
      </c>
      <c r="AF50" s="41"/>
      <c r="AG50" s="41"/>
      <c r="AH50"/>
      <c r="AI50" s="73">
        <f>kosztorys!H40</f>
        <v>0</v>
      </c>
      <c r="AJ50" s="82">
        <f>kosztorys!I40</f>
        <v>0</v>
      </c>
      <c r="AK50" s="82">
        <f>kosztorys!K40</f>
        <v>0</v>
      </c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</row>
    <row r="51" spans="1:55" s="75" customFormat="1" ht="13.5" thickBot="1" x14ac:dyDescent="0.25">
      <c r="A51" s="45" t="s">
        <v>13</v>
      </c>
      <c r="B51" s="45" t="s">
        <v>147</v>
      </c>
      <c r="C51" s="75" t="b">
        <f>F51</f>
        <v>0</v>
      </c>
      <c r="D51" s="81">
        <f>E51</f>
        <v>0.18</v>
      </c>
      <c r="E51" s="150">
        <v>0.18</v>
      </c>
      <c r="F51" s="75" t="b">
        <f>IF(AC51&gt;0,TRUE,IF(EXACT(kosztorys!$H$4,"Budowa"),TRUE,FALSE))</f>
        <v>0</v>
      </c>
      <c r="G51" s="78"/>
      <c r="H51" s="78"/>
      <c r="I51" s="78"/>
      <c r="J51" s="78"/>
      <c r="K51" s="117"/>
      <c r="L51" s="117"/>
      <c r="P51" s="115"/>
      <c r="Q51" s="115"/>
      <c r="R51" s="115">
        <f>ROUND($D$2*D51,-3)</f>
        <v>0</v>
      </c>
      <c r="AA51" s="86">
        <f>IFERROR(AC51/kosztorys!$H$71,)</f>
        <v>0</v>
      </c>
      <c r="AB51" s="90">
        <f>IFERROR(AE51/kosztorys!$H$71,)</f>
        <v>0</v>
      </c>
      <c r="AC51" s="83">
        <f>SUM(kosztorys!H42:H48)</f>
        <v>0</v>
      </c>
      <c r="AD51" s="79"/>
      <c r="AE51" s="84">
        <f>SUM(AE52:AE58)</f>
        <v>0</v>
      </c>
      <c r="AF51" s="79" t="str">
        <f>CONCATENATE("Do wykonania prace za ",ROUND(AC51-AE51,2),"zł")</f>
        <v>Do wykonania prace za 0zł</v>
      </c>
      <c r="AG51" s="79" t="str">
        <f>CONCATENATE($AC51,"zł to ",ROUND(AA51*100,2),"%")</f>
        <v>0zł to 0%</v>
      </c>
      <c r="AH51" s="79" t="str">
        <f>CONCATENATE($AE51,"zł to ",ROUND(AB51*100,2),"%")</f>
        <v>0zł to 0%</v>
      </c>
      <c r="AI51" s="80" t="str">
        <f>kosztorys!H41</f>
        <v/>
      </c>
      <c r="AJ51" s="165" t="str">
        <f>IFERROR(ROUND(((Wyliczenia!AC51-Wyliczenia!R51)/Wyliczenia!R51),3),"")</f>
        <v/>
      </c>
      <c r="AK51" s="162" t="str">
        <f>kosztorys!K41</f>
        <v/>
      </c>
    </row>
    <row r="52" spans="1:55" x14ac:dyDescent="0.2">
      <c r="A52" t="s">
        <v>40</v>
      </c>
      <c r="D52" s="50"/>
      <c r="G52" s="47"/>
      <c r="H52" s="47"/>
      <c r="I52" s="47"/>
      <c r="J52" s="47"/>
      <c r="K52" s="52"/>
      <c r="L52" s="52"/>
      <c r="P52" s="116"/>
      <c r="Q52" s="116"/>
      <c r="AA52" s="87"/>
      <c r="AB52" s="91"/>
      <c r="AC52" s="41"/>
      <c r="AD52" s="41"/>
      <c r="AE52" s="85">
        <f>kosztorys!H42*kosztorys!I42</f>
        <v>0</v>
      </c>
      <c r="AF52" s="41"/>
      <c r="AG52" s="41"/>
      <c r="AI52" s="73">
        <f>kosztorys!H42</f>
        <v>0</v>
      </c>
      <c r="AJ52" s="82">
        <f>kosztorys!I42</f>
        <v>0</v>
      </c>
      <c r="AK52" s="82">
        <f>kosztorys!K42</f>
        <v>0</v>
      </c>
    </row>
    <row r="53" spans="1:55" x14ac:dyDescent="0.2">
      <c r="A53" t="s">
        <v>4</v>
      </c>
      <c r="D53" s="50"/>
      <c r="G53" s="47"/>
      <c r="H53" s="47"/>
      <c r="I53" s="47"/>
      <c r="J53" s="47"/>
      <c r="K53" s="52"/>
      <c r="L53" s="52"/>
      <c r="P53" s="116"/>
      <c r="Q53" s="116"/>
      <c r="AA53" s="87"/>
      <c r="AB53" s="91"/>
      <c r="AC53" s="41"/>
      <c r="AD53" s="41"/>
      <c r="AE53" s="85">
        <f>kosztorys!H43*kosztorys!I43</f>
        <v>0</v>
      </c>
      <c r="AF53" s="41"/>
      <c r="AG53" s="41"/>
      <c r="AI53" s="73">
        <f>kosztorys!H43</f>
        <v>0</v>
      </c>
      <c r="AJ53" s="82">
        <f>kosztorys!I43</f>
        <v>0</v>
      </c>
      <c r="AK53" s="82">
        <f>kosztorys!K43</f>
        <v>0</v>
      </c>
    </row>
    <row r="54" spans="1:55" x14ac:dyDescent="0.2">
      <c r="A54" t="s">
        <v>25</v>
      </c>
      <c r="D54" s="50"/>
      <c r="G54" s="47"/>
      <c r="H54" s="47"/>
      <c r="I54" s="47"/>
      <c r="J54" s="47"/>
      <c r="K54" s="52"/>
      <c r="L54" s="52"/>
      <c r="P54" s="116"/>
      <c r="Q54" s="116"/>
      <c r="AA54" s="87"/>
      <c r="AB54" s="91"/>
      <c r="AC54" s="41"/>
      <c r="AD54" s="41"/>
      <c r="AE54" s="85">
        <f>kosztorys!H44*kosztorys!I44</f>
        <v>0</v>
      </c>
      <c r="AF54" s="41"/>
      <c r="AG54" s="41"/>
      <c r="AI54" s="73">
        <f>kosztorys!H44</f>
        <v>0</v>
      </c>
      <c r="AJ54" s="82">
        <f>kosztorys!I44</f>
        <v>0</v>
      </c>
      <c r="AK54" s="82">
        <f>kosztorys!K44</f>
        <v>0</v>
      </c>
    </row>
    <row r="55" spans="1:55" x14ac:dyDescent="0.2">
      <c r="A55" t="s">
        <v>2</v>
      </c>
      <c r="D55" s="50"/>
      <c r="G55" s="47"/>
      <c r="H55" s="47"/>
      <c r="I55" s="47"/>
      <c r="J55" s="47"/>
      <c r="K55" s="52"/>
      <c r="L55" s="52"/>
      <c r="P55" s="116"/>
      <c r="Q55" s="116"/>
      <c r="AA55" s="87"/>
      <c r="AB55" s="91"/>
      <c r="AC55" s="41"/>
      <c r="AD55" s="41"/>
      <c r="AE55" s="85">
        <f>kosztorys!H45*kosztorys!I45</f>
        <v>0</v>
      </c>
      <c r="AF55" s="41"/>
      <c r="AG55" s="41"/>
      <c r="AI55" s="73">
        <f>kosztorys!H45</f>
        <v>0</v>
      </c>
      <c r="AJ55" s="82">
        <f>kosztorys!I45</f>
        <v>0</v>
      </c>
      <c r="AK55" s="82">
        <f>kosztorys!K45</f>
        <v>0</v>
      </c>
    </row>
    <row r="56" spans="1:55" x14ac:dyDescent="0.2">
      <c r="A56" t="s">
        <v>67</v>
      </c>
      <c r="D56" s="50"/>
      <c r="G56" s="47"/>
      <c r="H56" s="47"/>
      <c r="I56" s="47"/>
      <c r="J56" s="47"/>
      <c r="K56" s="52"/>
      <c r="L56" s="52"/>
      <c r="P56" s="116"/>
      <c r="Q56" s="116"/>
      <c r="AA56" s="87"/>
      <c r="AB56" s="91"/>
      <c r="AC56" s="41"/>
      <c r="AD56" s="41"/>
      <c r="AE56" s="85">
        <f>kosztorys!H46*kosztorys!I46</f>
        <v>0</v>
      </c>
      <c r="AF56" s="41"/>
      <c r="AG56" s="41"/>
      <c r="AI56" s="73">
        <f>kosztorys!H46</f>
        <v>0</v>
      </c>
      <c r="AJ56" s="82">
        <f>kosztorys!I46</f>
        <v>0</v>
      </c>
      <c r="AK56" s="82">
        <f>kosztorys!K46</f>
        <v>0</v>
      </c>
    </row>
    <row r="57" spans="1:55" x14ac:dyDescent="0.2">
      <c r="A57" t="s">
        <v>68</v>
      </c>
      <c r="D57" s="50"/>
      <c r="G57" s="47"/>
      <c r="H57" s="47"/>
      <c r="I57" s="47"/>
      <c r="J57" s="47"/>
      <c r="K57" s="52"/>
      <c r="L57" s="52"/>
      <c r="P57" s="116"/>
      <c r="Q57" s="116"/>
      <c r="AA57" s="87"/>
      <c r="AB57" s="91"/>
      <c r="AC57" s="41"/>
      <c r="AD57" s="41"/>
      <c r="AE57" s="85">
        <f>kosztorys!H47*kosztorys!I47</f>
        <v>0</v>
      </c>
      <c r="AF57" s="41"/>
      <c r="AG57" s="41"/>
      <c r="AI57" s="73">
        <f>kosztorys!H47</f>
        <v>0</v>
      </c>
      <c r="AJ57" s="82">
        <f>kosztorys!I47</f>
        <v>0</v>
      </c>
      <c r="AK57" s="82">
        <f>kosztorys!K47</f>
        <v>0</v>
      </c>
    </row>
    <row r="58" spans="1:55" s="57" customFormat="1" ht="13.5" thickBot="1" x14ac:dyDescent="0.25">
      <c r="A58" t="s">
        <v>68</v>
      </c>
      <c r="B58"/>
      <c r="C58"/>
      <c r="D58" s="50"/>
      <c r="E58"/>
      <c r="F58"/>
      <c r="G58" s="47"/>
      <c r="H58" s="47"/>
      <c r="I58" s="47"/>
      <c r="J58" s="47"/>
      <c r="K58" s="52"/>
      <c r="L58" s="52"/>
      <c r="M58"/>
      <c r="N58"/>
      <c r="O58"/>
      <c r="P58" s="116"/>
      <c r="Q58" s="116"/>
      <c r="R58"/>
      <c r="S58"/>
      <c r="T58"/>
      <c r="U58"/>
      <c r="V58"/>
      <c r="W58"/>
      <c r="X58"/>
      <c r="Y58"/>
      <c r="Z58"/>
      <c r="AA58" s="87"/>
      <c r="AB58" s="91"/>
      <c r="AC58" s="41"/>
      <c r="AD58" s="41"/>
      <c r="AE58" s="85">
        <f>kosztorys!H48*kosztorys!I48</f>
        <v>0</v>
      </c>
      <c r="AF58" s="41"/>
      <c r="AG58" s="41"/>
      <c r="AH58"/>
      <c r="AI58" s="73">
        <f>kosztorys!H48</f>
        <v>0</v>
      </c>
      <c r="AJ58" s="82">
        <f>kosztorys!I48</f>
        <v>0</v>
      </c>
      <c r="AK58" s="82">
        <f>kosztorys!K48</f>
        <v>0</v>
      </c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</row>
    <row r="59" spans="1:55" s="75" customFormat="1" ht="13.5" thickBot="1" x14ac:dyDescent="0.25">
      <c r="A59" s="45" t="s">
        <v>19</v>
      </c>
      <c r="B59" s="45" t="s">
        <v>147</v>
      </c>
      <c r="C59" s="75" t="b">
        <f>F59</f>
        <v>0</v>
      </c>
      <c r="D59" s="81">
        <f>_xlfn.IFNA(VLOOKUP(kosztorys!F7,M1:O5,3,FALSE),)</f>
        <v>0</v>
      </c>
      <c r="E59" s="148">
        <v>0.06</v>
      </c>
      <c r="F59" s="75" t="b">
        <f>IF(AC59&gt;0,TRUE,IF(OR(AND(EXACT(kosztorys!$H$4,"Budowa"),NOT(EXACT(kosztorys!$F$7,"Inny")),NOT(EXACT(kosztorys!$F$7,"Deweloperski"))),EXACT(LEFT(kosztorys!$H$4,6),"Remont"),EXACT(kosztorys!$H$4,"Prace wykończeniowe")),TRUE,FALSE))</f>
        <v>0</v>
      </c>
      <c r="G59" s="78"/>
      <c r="H59" s="78"/>
      <c r="I59" s="78"/>
      <c r="J59" s="78"/>
      <c r="K59" s="117"/>
      <c r="L59" s="117"/>
      <c r="P59" s="115"/>
      <c r="Q59" s="115"/>
      <c r="R59" s="115">
        <f>ROUND(_xlfn.IFNA(VLOOKUP(kosztorys!F7,Wyliczenia!$M$2:$P$5,4,FALSE),0)+$P$1,-3)</f>
        <v>0</v>
      </c>
      <c r="AA59" s="86">
        <f>IFERROR(AC59/kosztorys!$H$71,)</f>
        <v>0</v>
      </c>
      <c r="AB59" s="90">
        <f>IFERROR(AE59/kosztorys!$H$71,)</f>
        <v>0</v>
      </c>
      <c r="AC59" s="83">
        <f>SUM(kosztorys!H50:H56)</f>
        <v>0</v>
      </c>
      <c r="AD59" s="79"/>
      <c r="AE59" s="84">
        <f>SUM(AE60:AE66)</f>
        <v>0</v>
      </c>
      <c r="AF59" s="79" t="str">
        <f>CONCATENATE("Do wykonania prace za ",ROUND(AC59-AE59,2),"zł")</f>
        <v>Do wykonania prace za 0zł</v>
      </c>
      <c r="AG59" s="79" t="str">
        <f>CONCATENATE($AC59,"zł to ",ROUND(AA59*100,2),"%")</f>
        <v>0zł to 0%</v>
      </c>
      <c r="AH59" s="79" t="str">
        <f>CONCATENATE($AE59,"zł to ",ROUND(AB59*100,2),"%")</f>
        <v>0zł to 0%</v>
      </c>
      <c r="AI59" s="80" t="str">
        <f>kosztorys!H49</f>
        <v/>
      </c>
      <c r="AJ59" s="165" t="str">
        <f>IFERROR(ROUND(((Wyliczenia!AC59-Wyliczenia!R59)/Wyliczenia!R59),3),"")</f>
        <v/>
      </c>
      <c r="AK59" s="162" t="str">
        <f>kosztorys!K49</f>
        <v/>
      </c>
    </row>
    <row r="60" spans="1:55" x14ac:dyDescent="0.2">
      <c r="A60" t="s">
        <v>44</v>
      </c>
      <c r="D60" s="50"/>
      <c r="G60" s="47"/>
      <c r="H60" s="47"/>
      <c r="I60" s="47"/>
      <c r="J60" s="47"/>
      <c r="K60" s="52"/>
      <c r="L60" s="52"/>
      <c r="P60" s="116"/>
      <c r="Q60" s="116"/>
      <c r="R60" s="166"/>
      <c r="S60" s="166"/>
      <c r="T60" s="166"/>
      <c r="U60" s="166"/>
      <c r="AA60" s="87"/>
      <c r="AB60" s="93"/>
      <c r="AC60" s="41"/>
      <c r="AD60" s="41"/>
      <c r="AE60" s="85">
        <f>kosztorys!H50*kosztorys!I50</f>
        <v>0</v>
      </c>
      <c r="AF60" s="41"/>
      <c r="AG60" s="41"/>
      <c r="AI60" s="73">
        <f>kosztorys!H50</f>
        <v>0</v>
      </c>
      <c r="AJ60" s="82">
        <f>kosztorys!I50</f>
        <v>0</v>
      </c>
      <c r="AK60" s="82">
        <f>kosztorys!K50</f>
        <v>0</v>
      </c>
    </row>
    <row r="61" spans="1:55" x14ac:dyDescent="0.2">
      <c r="A61" t="s">
        <v>55</v>
      </c>
      <c r="D61" s="50"/>
      <c r="G61" s="47"/>
      <c r="H61" s="47"/>
      <c r="I61" s="47"/>
      <c r="J61" s="47"/>
      <c r="K61" s="52"/>
      <c r="L61" s="52"/>
      <c r="P61" s="116"/>
      <c r="Q61" s="116"/>
      <c r="R61" s="73"/>
      <c r="AA61" s="87"/>
      <c r="AB61" s="93"/>
      <c r="AC61" s="41"/>
      <c r="AD61" s="41"/>
      <c r="AE61" s="85">
        <f>kosztorys!H51*kosztorys!I51</f>
        <v>0</v>
      </c>
      <c r="AF61" s="41"/>
      <c r="AG61" s="41"/>
      <c r="AI61" s="73">
        <f>kosztorys!H51</f>
        <v>0</v>
      </c>
      <c r="AJ61" s="82">
        <f>kosztorys!I51</f>
        <v>0</v>
      </c>
      <c r="AK61" s="82">
        <f>kosztorys!K51</f>
        <v>0</v>
      </c>
    </row>
    <row r="62" spans="1:55" x14ac:dyDescent="0.2">
      <c r="A62" t="s">
        <v>52</v>
      </c>
      <c r="D62" s="50"/>
      <c r="G62" s="48"/>
      <c r="H62" s="47"/>
      <c r="I62" s="47"/>
      <c r="J62" s="47"/>
      <c r="K62" s="52"/>
      <c r="L62" s="52"/>
      <c r="P62" s="116"/>
      <c r="Q62" s="116"/>
      <c r="AA62" s="87"/>
      <c r="AB62" s="93"/>
      <c r="AC62" s="41"/>
      <c r="AD62" s="41"/>
      <c r="AE62" s="85">
        <f>kosztorys!H52*kosztorys!I52</f>
        <v>0</v>
      </c>
      <c r="AF62" s="41"/>
      <c r="AG62" s="41"/>
      <c r="AI62" s="73">
        <f>kosztorys!H52</f>
        <v>0</v>
      </c>
      <c r="AJ62" s="82">
        <f>kosztorys!I52</f>
        <v>0</v>
      </c>
      <c r="AK62" s="82">
        <f>kosztorys!K52</f>
        <v>0</v>
      </c>
    </row>
    <row r="63" spans="1:55" x14ac:dyDescent="0.2">
      <c r="A63" t="s">
        <v>64</v>
      </c>
      <c r="D63" s="50"/>
      <c r="G63" s="47"/>
      <c r="H63" s="47"/>
      <c r="I63" s="47"/>
      <c r="J63" s="47"/>
      <c r="K63" s="52"/>
      <c r="L63" s="52"/>
      <c r="P63" s="116"/>
      <c r="Q63" s="116"/>
      <c r="AA63" s="87"/>
      <c r="AB63" s="93"/>
      <c r="AC63" s="41"/>
      <c r="AD63" s="41"/>
      <c r="AE63" s="85">
        <f>kosztorys!H53*kosztorys!I53</f>
        <v>0</v>
      </c>
      <c r="AF63" s="41"/>
      <c r="AG63" s="41"/>
      <c r="AI63" s="73">
        <f>kosztorys!H53</f>
        <v>0</v>
      </c>
      <c r="AJ63" s="82">
        <f>kosztorys!I53</f>
        <v>0</v>
      </c>
      <c r="AK63" s="82">
        <f>kosztorys!K53</f>
        <v>0</v>
      </c>
    </row>
    <row r="64" spans="1:55" s="57" customFormat="1" x14ac:dyDescent="0.2">
      <c r="A64" t="s">
        <v>134</v>
      </c>
      <c r="B64"/>
      <c r="C64"/>
      <c r="D64" s="50"/>
      <c r="E64"/>
      <c r="F64"/>
      <c r="G64" s="47"/>
      <c r="H64" s="47"/>
      <c r="I64" s="47"/>
      <c r="J64" s="47"/>
      <c r="K64" s="52"/>
      <c r="L64" s="52"/>
      <c r="M64"/>
      <c r="N64"/>
      <c r="O64"/>
      <c r="P64" s="116"/>
      <c r="Q64" s="116"/>
      <c r="R64"/>
      <c r="S64"/>
      <c r="T64"/>
      <c r="U64"/>
      <c r="V64"/>
      <c r="W64"/>
      <c r="X64"/>
      <c r="Y64"/>
      <c r="Z64"/>
      <c r="AA64" s="87"/>
      <c r="AB64" s="93"/>
      <c r="AC64" s="41"/>
      <c r="AD64" s="41"/>
      <c r="AE64" s="85">
        <f>kosztorys!H54*kosztorys!I54</f>
        <v>0</v>
      </c>
      <c r="AF64" s="41"/>
      <c r="AG64" s="41"/>
      <c r="AH64"/>
      <c r="AI64" s="73">
        <f>kosztorys!H54</f>
        <v>0</v>
      </c>
      <c r="AJ64" s="82">
        <f>kosztorys!I54</f>
        <v>0</v>
      </c>
      <c r="AK64" s="82">
        <f>kosztorys!K54</f>
        <v>0</v>
      </c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</row>
    <row r="65" spans="1:37" x14ac:dyDescent="0.2">
      <c r="A65" t="s">
        <v>48</v>
      </c>
      <c r="D65" s="50"/>
      <c r="G65" s="47"/>
      <c r="H65" s="47"/>
      <c r="I65" s="47"/>
      <c r="J65" s="47"/>
      <c r="K65" s="52"/>
      <c r="L65" s="52"/>
      <c r="P65" s="116"/>
      <c r="Q65" s="116"/>
      <c r="AA65" s="87"/>
      <c r="AB65" s="93"/>
      <c r="AC65" s="41"/>
      <c r="AD65" s="41"/>
      <c r="AE65" s="85">
        <f>kosztorys!H55*kosztorys!I55</f>
        <v>0</v>
      </c>
      <c r="AF65" s="41"/>
      <c r="AG65" s="41"/>
      <c r="AI65" s="73">
        <f>kosztorys!H55</f>
        <v>0</v>
      </c>
      <c r="AJ65" s="82">
        <f>kosztorys!I55</f>
        <v>0</v>
      </c>
      <c r="AK65" s="82">
        <f>kosztorys!K55</f>
        <v>0</v>
      </c>
    </row>
    <row r="66" spans="1:37" ht="13.5" thickBot="1" x14ac:dyDescent="0.25">
      <c r="A66" t="s">
        <v>49</v>
      </c>
      <c r="D66" s="50"/>
      <c r="G66" s="47"/>
      <c r="H66" s="47"/>
      <c r="I66" s="47"/>
      <c r="J66" s="47"/>
      <c r="K66" s="52"/>
      <c r="L66" s="52"/>
      <c r="P66" s="116"/>
      <c r="Q66" s="116"/>
      <c r="AA66" s="87"/>
      <c r="AB66" s="92"/>
      <c r="AC66" s="41"/>
      <c r="AD66" s="41"/>
      <c r="AE66" s="85">
        <f>kosztorys!H56*kosztorys!I56</f>
        <v>0</v>
      </c>
      <c r="AF66" s="41"/>
      <c r="AG66" s="41"/>
      <c r="AI66" s="73">
        <f>kosztorys!H56</f>
        <v>0</v>
      </c>
      <c r="AJ66" s="82">
        <f>kosztorys!I56</f>
        <v>0</v>
      </c>
      <c r="AK66" s="82">
        <f>kosztorys!K56</f>
        <v>0</v>
      </c>
    </row>
    <row r="67" spans="1:37" s="75" customFormat="1" ht="13.5" thickBot="1" x14ac:dyDescent="0.25">
      <c r="A67" s="45" t="s">
        <v>75</v>
      </c>
      <c r="B67" s="45" t="s">
        <v>148</v>
      </c>
      <c r="C67" s="75" t="b">
        <f>F67</f>
        <v>0</v>
      </c>
      <c r="D67" s="81" t="e">
        <f>E67*VLOOKUP(kosztorys!J7,Wyliczenia!J1:L4,3,FALSE)</f>
        <v>#N/A</v>
      </c>
      <c r="E67" s="148">
        <v>0.15</v>
      </c>
      <c r="F67" s="75" t="b">
        <f>IF(AC67&gt;0,TRUE,FALSE)</f>
        <v>0</v>
      </c>
      <c r="G67" s="78"/>
      <c r="H67" s="78"/>
      <c r="I67" s="78"/>
      <c r="J67" s="78"/>
      <c r="K67" s="117"/>
      <c r="L67" s="117"/>
      <c r="P67" s="115"/>
      <c r="Q67" s="115"/>
      <c r="R67" s="115" t="e">
        <f>ROUND($AB$4*120*D67,-3)</f>
        <v>#N/A</v>
      </c>
      <c r="AA67" s="86">
        <f>IFERROR(AC67/kosztorys!$H$71,)</f>
        <v>0</v>
      </c>
      <c r="AB67" s="90">
        <f>IFERROR(AE67/kosztorys!$H$71,)</f>
        <v>0</v>
      </c>
      <c r="AC67" s="83">
        <f>SUM(kosztorys!H58:H62)</f>
        <v>0</v>
      </c>
      <c r="AD67" s="79"/>
      <c r="AE67" s="84">
        <f>SUM(AE68:AE72)</f>
        <v>0</v>
      </c>
      <c r="AF67" s="79" t="str">
        <f>CONCATENATE("Do wykonania prace za ",ROUND(AC67-AE67,2),"zł")</f>
        <v>Do wykonania prace za 0zł</v>
      </c>
      <c r="AG67" s="79" t="str">
        <f>CONCATENATE($AC67,"zł to ",ROUND(AA67*100,2),"%")</f>
        <v>0zł to 0%</v>
      </c>
      <c r="AH67" s="79" t="str">
        <f>CONCATENATE($AE67,"zł to ",ROUND(AB67*100,2),"%")</f>
        <v>0zł to 0%</v>
      </c>
      <c r="AI67" s="80" t="str">
        <f>kosztorys!H57</f>
        <v/>
      </c>
      <c r="AJ67" s="165" t="e">
        <f>ROUND(IFERROR(((Wyliczenia!AC67-IF(AC67&gt;R67,R67,AC67))/IF(AC67&gt;R67,R67,AC67)),""),3)</f>
        <v>#VALUE!</v>
      </c>
      <c r="AK67" s="162" t="str">
        <f>kosztorys!K57</f>
        <v/>
      </c>
    </row>
    <row r="68" spans="1:37" x14ac:dyDescent="0.2">
      <c r="A68" t="s">
        <v>69</v>
      </c>
      <c r="D68" s="50"/>
      <c r="G68" s="47"/>
      <c r="H68" s="47"/>
      <c r="I68" s="47"/>
      <c r="J68" s="47"/>
      <c r="K68" s="52"/>
      <c r="L68" s="52"/>
      <c r="P68" s="116"/>
      <c r="Q68" s="116"/>
      <c r="AA68" s="87"/>
      <c r="AB68" s="91"/>
      <c r="AC68" s="41"/>
      <c r="AD68" s="41"/>
      <c r="AE68" s="85">
        <f>kosztorys!H58*kosztorys!I58</f>
        <v>0</v>
      </c>
      <c r="AF68" s="41"/>
      <c r="AG68" s="41"/>
      <c r="AI68" s="73">
        <f>kosztorys!H58</f>
        <v>0</v>
      </c>
      <c r="AJ68" s="82">
        <f>kosztorys!I58</f>
        <v>0</v>
      </c>
      <c r="AK68" s="82">
        <f>kosztorys!K58</f>
        <v>0</v>
      </c>
    </row>
    <row r="69" spans="1:37" x14ac:dyDescent="0.2">
      <c r="A69" t="s">
        <v>41</v>
      </c>
      <c r="D69" s="50"/>
      <c r="G69" s="47"/>
      <c r="H69" s="47"/>
      <c r="I69" s="47"/>
      <c r="J69" s="47"/>
      <c r="K69" s="52"/>
      <c r="L69" s="52"/>
      <c r="P69" s="116"/>
      <c r="Q69" s="116"/>
      <c r="AA69" s="87"/>
      <c r="AB69" s="91"/>
      <c r="AC69" s="41"/>
      <c r="AD69" s="41"/>
      <c r="AE69" s="85">
        <f>kosztorys!H59*kosztorys!I59</f>
        <v>0</v>
      </c>
      <c r="AF69" s="41"/>
      <c r="AG69" s="41"/>
      <c r="AI69" s="73">
        <f>kosztorys!H59</f>
        <v>0</v>
      </c>
      <c r="AJ69" s="82">
        <f>kosztorys!I59</f>
        <v>0</v>
      </c>
      <c r="AK69" s="82">
        <f>kosztorys!K59</f>
        <v>0</v>
      </c>
    </row>
    <row r="70" spans="1:37" x14ac:dyDescent="0.2">
      <c r="A70" t="s">
        <v>42</v>
      </c>
      <c r="D70" s="50"/>
      <c r="G70" s="47"/>
      <c r="H70" s="47"/>
      <c r="I70" s="47"/>
      <c r="J70" s="47"/>
      <c r="K70" s="52"/>
      <c r="L70" s="52"/>
      <c r="P70" s="116"/>
      <c r="Q70" s="116"/>
      <c r="AA70" s="87"/>
      <c r="AB70" s="91"/>
      <c r="AC70" s="41"/>
      <c r="AD70" s="41"/>
      <c r="AE70" s="85">
        <f>kosztorys!H60*kosztorys!I60</f>
        <v>0</v>
      </c>
      <c r="AF70" s="41"/>
      <c r="AG70" s="41"/>
      <c r="AI70" s="73">
        <f>kosztorys!H60</f>
        <v>0</v>
      </c>
      <c r="AJ70" s="82">
        <f>kosztorys!I60</f>
        <v>0</v>
      </c>
      <c r="AK70" s="82">
        <f>kosztorys!K60</f>
        <v>0</v>
      </c>
    </row>
    <row r="71" spans="1:37" x14ac:dyDescent="0.2">
      <c r="A71" t="s">
        <v>27</v>
      </c>
      <c r="D71" s="50"/>
      <c r="G71" s="47"/>
      <c r="H71" s="47"/>
      <c r="I71" s="47"/>
      <c r="J71" s="47"/>
      <c r="K71" s="52"/>
      <c r="L71" s="52"/>
      <c r="P71" s="116"/>
      <c r="Q71" s="116"/>
      <c r="AA71" s="87"/>
      <c r="AB71" s="91"/>
      <c r="AC71" s="41"/>
      <c r="AD71" s="41"/>
      <c r="AE71" s="85">
        <f>kosztorys!H61*kosztorys!I61</f>
        <v>0</v>
      </c>
      <c r="AF71" s="41"/>
      <c r="AG71" s="41"/>
      <c r="AI71" s="73">
        <f>kosztorys!H61</f>
        <v>0</v>
      </c>
      <c r="AJ71" s="82">
        <f>kosztorys!I61</f>
        <v>0</v>
      </c>
      <c r="AK71" s="82">
        <f>kosztorys!K61</f>
        <v>0</v>
      </c>
    </row>
    <row r="72" spans="1:37" ht="13.5" thickBot="1" x14ac:dyDescent="0.25">
      <c r="A72" t="s">
        <v>43</v>
      </c>
      <c r="D72" s="50"/>
      <c r="G72" s="47"/>
      <c r="H72" s="47"/>
      <c r="I72" s="47"/>
      <c r="J72" s="47"/>
      <c r="K72" s="52"/>
      <c r="L72" s="52"/>
      <c r="P72" s="116"/>
      <c r="Q72" s="116"/>
      <c r="AA72" s="87"/>
      <c r="AB72" s="91"/>
      <c r="AC72" s="41"/>
      <c r="AD72" s="41"/>
      <c r="AE72" s="85">
        <f>kosztorys!H62*kosztorys!I62</f>
        <v>0</v>
      </c>
      <c r="AF72" s="41"/>
      <c r="AG72" s="41"/>
      <c r="AI72" s="73">
        <f>kosztorys!H62</f>
        <v>0</v>
      </c>
      <c r="AJ72" s="82">
        <f>kosztorys!I62</f>
        <v>0</v>
      </c>
      <c r="AK72" s="82">
        <f>kosztorys!K62</f>
        <v>0</v>
      </c>
    </row>
    <row r="73" spans="1:37" s="75" customFormat="1" ht="13.5" thickBot="1" x14ac:dyDescent="0.25">
      <c r="A73" s="75" t="s">
        <v>76</v>
      </c>
      <c r="C73" s="75" t="b">
        <f>F73</f>
        <v>0</v>
      </c>
      <c r="D73" s="81"/>
      <c r="F73" s="75" t="b">
        <f>IF(AC73&gt;0,TRUE,IF(OR(EXACT(kosztorys!$H$4,"Budowa z generalnym wykonawcą"),EXACT(kosztorys!$H$4,"Przebudowa/Rozbudowa/Nadbudowa")),TRUE,FALSE))</f>
        <v>0</v>
      </c>
      <c r="G73" s="78"/>
      <c r="H73" s="78"/>
      <c r="I73" s="78"/>
      <c r="J73" s="78"/>
      <c r="K73" s="117"/>
      <c r="L73" s="117"/>
      <c r="P73" s="115"/>
      <c r="Q73" s="115"/>
      <c r="AA73" s="86">
        <f>IFERROR(AC73/kosztorys!$H$71,)</f>
        <v>0</v>
      </c>
      <c r="AB73" s="90">
        <f>IFERROR(AE73/kosztorys!$H$71,)</f>
        <v>0</v>
      </c>
      <c r="AC73" s="83">
        <f>SUM(kosztorys!H64:H69)</f>
        <v>0</v>
      </c>
      <c r="AD73" s="79"/>
      <c r="AE73" s="84">
        <f>SUM(AE74:AE79)</f>
        <v>0</v>
      </c>
      <c r="AF73" s="79" t="str">
        <f>CONCATENATE("Do wykonania prace za ",ROUND(AC73-AE73,2),"zł")</f>
        <v>Do wykonania prace za 0zł</v>
      </c>
      <c r="AG73" s="79" t="str">
        <f>CONCATENATE($AC73,"zł to ",ROUND(AA73*100,2),"%")</f>
        <v>0zł to 0%</v>
      </c>
      <c r="AH73" s="79" t="str">
        <f>CONCATENATE($AE73,"zł to ",ROUND(AB73*100,2),"%")</f>
        <v>0zł to 0%</v>
      </c>
      <c r="AI73" s="80" t="str">
        <f>kosztorys!H63</f>
        <v/>
      </c>
      <c r="AJ73" s="81" t="str">
        <f>kosztorys!I63</f>
        <v/>
      </c>
      <c r="AK73" s="162">
        <f>kosztorys!K63</f>
        <v>0</v>
      </c>
    </row>
    <row r="74" spans="1:37" x14ac:dyDescent="0.2">
      <c r="A74" t="s">
        <v>57</v>
      </c>
      <c r="D74" s="50"/>
      <c r="G74" s="48"/>
      <c r="H74" s="47"/>
      <c r="I74" s="47"/>
      <c r="J74" s="47"/>
      <c r="K74" s="52"/>
      <c r="L74" s="52"/>
      <c r="P74" s="116"/>
      <c r="Q74" s="116"/>
      <c r="AA74" s="88"/>
      <c r="AB74" s="94"/>
      <c r="AC74" s="1"/>
      <c r="AD74" s="1"/>
      <c r="AE74" s="85">
        <f>kosztorys!H64*kosztorys!I64</f>
        <v>0</v>
      </c>
      <c r="AF74" s="1"/>
      <c r="AG74" s="74"/>
      <c r="AI74" s="73">
        <f>kosztorys!H64</f>
        <v>0</v>
      </c>
      <c r="AJ74" s="82">
        <f>kosztorys!I64</f>
        <v>0</v>
      </c>
      <c r="AK74" s="82">
        <f>kosztorys!K64</f>
        <v>0</v>
      </c>
    </row>
    <row r="75" spans="1:37" x14ac:dyDescent="0.2">
      <c r="A75" t="s">
        <v>58</v>
      </c>
      <c r="D75" s="50"/>
      <c r="G75" s="47"/>
      <c r="H75" s="47"/>
      <c r="I75" s="47"/>
      <c r="J75" s="47"/>
      <c r="K75" s="52"/>
      <c r="L75" s="52"/>
      <c r="AA75" s="88"/>
      <c r="AB75" s="95"/>
      <c r="AC75" s="1"/>
      <c r="AD75" s="1"/>
      <c r="AE75" s="85">
        <f>kosztorys!H65*kosztorys!I65</f>
        <v>0</v>
      </c>
      <c r="AF75" s="1"/>
      <c r="AG75" s="1"/>
      <c r="AI75" s="73">
        <f>kosztorys!H65</f>
        <v>0</v>
      </c>
      <c r="AJ75" s="82">
        <f>kosztorys!I65</f>
        <v>0</v>
      </c>
      <c r="AK75" s="82">
        <f>kosztorys!K65</f>
        <v>0</v>
      </c>
    </row>
    <row r="76" spans="1:37" x14ac:dyDescent="0.2">
      <c r="A76" t="s">
        <v>59</v>
      </c>
      <c r="D76" s="50"/>
      <c r="G76" s="47"/>
      <c r="H76" s="47"/>
      <c r="I76" s="47"/>
      <c r="J76" s="47"/>
      <c r="K76" s="52"/>
      <c r="L76" s="52"/>
      <c r="AA76" s="89"/>
      <c r="AB76" s="96"/>
      <c r="AE76" s="85">
        <f>kosztorys!H66*kosztorys!I66</f>
        <v>0</v>
      </c>
      <c r="AI76" s="73">
        <f>kosztorys!H66</f>
        <v>0</v>
      </c>
      <c r="AJ76" s="82">
        <f>kosztorys!I66</f>
        <v>0</v>
      </c>
      <c r="AK76" s="82">
        <f>kosztorys!K66</f>
        <v>0</v>
      </c>
    </row>
    <row r="77" spans="1:37" x14ac:dyDescent="0.2">
      <c r="A77" t="s">
        <v>60</v>
      </c>
      <c r="D77" s="52" t="e">
        <f>SUM(D24,D30,D36,D42,D51,D59,D67)</f>
        <v>#N/A</v>
      </c>
      <c r="E77" s="156">
        <f>SUM(E30,E36,E42,E51,E59)</f>
        <v>1</v>
      </c>
      <c r="F77" s="45" t="s">
        <v>149</v>
      </c>
      <c r="G77" s="157"/>
      <c r="H77" s="157"/>
      <c r="I77" s="157"/>
      <c r="J77" s="157"/>
      <c r="K77" s="52"/>
      <c r="L77" s="52"/>
      <c r="R77" s="158"/>
      <c r="AA77" s="89"/>
      <c r="AB77" s="96"/>
      <c r="AE77" s="85">
        <f>kosztorys!H67*kosztorys!I67</f>
        <v>0</v>
      </c>
      <c r="AI77" s="73">
        <f>kosztorys!H67</f>
        <v>0</v>
      </c>
      <c r="AJ77" s="82">
        <f>kosztorys!I67</f>
        <v>0</v>
      </c>
      <c r="AK77" s="82">
        <f>kosztorys!K67</f>
        <v>0</v>
      </c>
    </row>
    <row r="78" spans="1:37" x14ac:dyDescent="0.2">
      <c r="A78" t="s">
        <v>61</v>
      </c>
      <c r="D78" s="50"/>
      <c r="G78" s="47"/>
      <c r="H78" s="47"/>
      <c r="I78" s="47"/>
      <c r="J78" s="47"/>
      <c r="K78" s="52"/>
      <c r="L78" s="52"/>
      <c r="AA78" s="89"/>
      <c r="AB78" s="96"/>
      <c r="AE78" s="85">
        <f>kosztorys!H68*kosztorys!I68</f>
        <v>0</v>
      </c>
      <c r="AI78" s="73">
        <f>kosztorys!H68</f>
        <v>0</v>
      </c>
      <c r="AJ78" s="82">
        <f>kosztorys!I68</f>
        <v>0</v>
      </c>
      <c r="AK78" s="82">
        <f>kosztorys!K68</f>
        <v>0</v>
      </c>
    </row>
    <row r="79" spans="1:37" x14ac:dyDescent="0.2">
      <c r="A79" t="s">
        <v>62</v>
      </c>
      <c r="D79" s="50"/>
      <c r="G79" s="47"/>
      <c r="H79" s="47"/>
      <c r="I79" s="47"/>
      <c r="J79" s="47"/>
      <c r="K79" s="52"/>
      <c r="L79" s="52"/>
      <c r="AA79" s="89"/>
      <c r="AE79" s="85">
        <f>kosztorys!H69*kosztorys!I69</f>
        <v>0</v>
      </c>
      <c r="AI79" s="73">
        <f>kosztorys!H69</f>
        <v>0</v>
      </c>
      <c r="AJ79" s="82">
        <f>kosztorys!I69</f>
        <v>0</v>
      </c>
      <c r="AK79" s="82">
        <f>kosztorys!K69</f>
        <v>0</v>
      </c>
    </row>
    <row r="80" spans="1:37" x14ac:dyDescent="0.2">
      <c r="D80" s="50"/>
      <c r="G80" s="47"/>
      <c r="H80" s="47"/>
      <c r="I80" s="47"/>
      <c r="J80" s="47"/>
      <c r="K80" s="52"/>
      <c r="L80" s="52"/>
      <c r="AI80" s="73">
        <f>kosztorys!H70</f>
        <v>0</v>
      </c>
      <c r="AJ80" s="73" t="str">
        <f>kosztorys!I70</f>
        <v/>
      </c>
    </row>
    <row r="81" spans="4:36" x14ac:dyDescent="0.2">
      <c r="D81" s="50"/>
      <c r="G81" s="47"/>
      <c r="H81" s="47"/>
      <c r="I81" s="47"/>
      <c r="J81" s="47"/>
      <c r="K81" s="52"/>
      <c r="L81" s="52"/>
      <c r="AA81" s="86">
        <f>IFERROR(AC81/kosztorys!$H$71,)</f>
        <v>0</v>
      </c>
      <c r="AB81" s="90">
        <f>IFERROR(AE81/kosztorys!$H$71,)</f>
        <v>0</v>
      </c>
      <c r="AC81" s="73">
        <f>SUM(AC24,AC30,AC36,AC42,AC51,AC59,AC67,AC73)</f>
        <v>0</v>
      </c>
      <c r="AD81" s="73"/>
      <c r="AE81" s="73">
        <f t="shared" ref="AE81" si="3">SUM(AE24,AE30,AE36,AE42,AE51,AE59,AE67,AE73)</f>
        <v>0</v>
      </c>
      <c r="AF81" s="126">
        <f>AC81-AE81</f>
        <v>0</v>
      </c>
      <c r="AG81" s="79" t="str">
        <f>CONCATENATE($AC81,"zł to ",ROUND(AA81*100,2),"%")</f>
        <v>0zł to 0%</v>
      </c>
      <c r="AH81" s="79" t="str">
        <f>CONCATENATE($AE81,"zł to ",ROUND(AB81*100,2),"%")</f>
        <v>0zł to 0%</v>
      </c>
      <c r="AI81" s="73">
        <f>kosztorys!H71</f>
        <v>0</v>
      </c>
      <c r="AJ81" s="73" t="str">
        <f>kosztorys!I71</f>
        <v>Wykonano prace za: 0zł tj. 0%</v>
      </c>
    </row>
    <row r="82" spans="4:36" x14ac:dyDescent="0.2">
      <c r="D82" s="50"/>
      <c r="G82" s="52"/>
      <c r="H82" s="52"/>
      <c r="I82" s="52"/>
      <c r="J82" s="52"/>
      <c r="K82" s="52"/>
      <c r="L82" s="52"/>
      <c r="N82" s="53"/>
      <c r="O82" s="53"/>
      <c r="R82" s="159" t="e">
        <f>SUM(ROUNDUP(IF($AC$24&gt;$R$24,$R$24,$AC$24),-3),R30,R36,R42,R51,R59,ROUNDUP(IF($AC$67&gt;$R$67,$R$67,$AC$67),-3))</f>
        <v>#N/A</v>
      </c>
      <c r="AI82" s="73" t="str">
        <f>kosztorys!H72</f>
        <v>Planowany wkład własny:</v>
      </c>
      <c r="AJ82" s="73">
        <f>kosztorys!I72</f>
        <v>0</v>
      </c>
    </row>
    <row r="84" spans="4:36" x14ac:dyDescent="0.2">
      <c r="F84" t="s">
        <v>127</v>
      </c>
    </row>
    <row r="85" spans="4:36" x14ac:dyDescent="0.2">
      <c r="F85" t="s">
        <v>125</v>
      </c>
    </row>
    <row r="86" spans="4:36" x14ac:dyDescent="0.2">
      <c r="F86" t="s">
        <v>128</v>
      </c>
    </row>
    <row r="87" spans="4:36" x14ac:dyDescent="0.2">
      <c r="F87" t="s">
        <v>114</v>
      </c>
    </row>
    <row r="88" spans="4:36" x14ac:dyDescent="0.2">
      <c r="F88" t="s">
        <v>117</v>
      </c>
    </row>
    <row r="89" spans="4:36" x14ac:dyDescent="0.2">
      <c r="F89" t="s">
        <v>129</v>
      </c>
    </row>
  </sheetData>
  <phoneticPr fontId="29" type="noConversion"/>
  <conditionalFormatting sqref="AI59">
    <cfRule type="cellIs" dxfId="1" priority="1" operator="greaterThan">
      <formula>$S$10</formula>
    </cfRule>
    <cfRule type="cellIs" dxfId="0" priority="2" operator="greaterThan">
      <formula>$S$11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80" r:id="rId4" name="Check Box 8">
              <controlPr locked="0" defaultSize="0" autoFill="0" autoLine="0" autoPict="0">
                <anchor moveWithCells="1">
                  <from>
                    <xdr:col>0</xdr:col>
                    <xdr:colOff>5172075</xdr:colOff>
                    <xdr:row>4</xdr:row>
                    <xdr:rowOff>0</xdr:rowOff>
                  </from>
                  <to>
                    <xdr:col>1</xdr:col>
                    <xdr:colOff>1114425</xdr:colOff>
                    <xdr:row>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5" name="Check Box 9">
              <controlPr defaultSize="0" autoFill="0" autoLine="0" autoPict="0">
                <anchor moveWithCells="1">
                  <from>
                    <xdr:col>1</xdr:col>
                    <xdr:colOff>1152525</xdr:colOff>
                    <xdr:row>4</xdr:row>
                    <xdr:rowOff>28575</xdr:rowOff>
                  </from>
                  <to>
                    <xdr:col>2</xdr:col>
                    <xdr:colOff>95250</xdr:colOff>
                    <xdr:row>6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6" name="Check Box 10">
              <controlPr defaultSize="0" autoFill="0" autoLine="0" autoPict="0" altText="elewacje/okna/ocieplenie _x000a_STAN DEWELOPERSKI">
                <anchor moveWithCells="1">
                  <from>
                    <xdr:col>0</xdr:col>
                    <xdr:colOff>2876550</xdr:colOff>
                    <xdr:row>4</xdr:row>
                    <xdr:rowOff>9525</xdr:rowOff>
                  </from>
                  <to>
                    <xdr:col>0</xdr:col>
                    <xdr:colOff>4257675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7" name="Check Box 11">
              <controlPr defaultSize="0" autoFill="0" autoLine="0" autoPict="0">
                <anchor moveWithCells="1">
                  <from>
                    <xdr:col>2</xdr:col>
                    <xdr:colOff>152400</xdr:colOff>
                    <xdr:row>4</xdr:row>
                    <xdr:rowOff>28575</xdr:rowOff>
                  </from>
                  <to>
                    <xdr:col>2</xdr:col>
                    <xdr:colOff>2162175</xdr:colOff>
                    <xdr:row>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8" name="Check Box 12">
              <controlPr defaultSize="0" autoFill="0" autoLine="0" autoPict="0">
                <anchor moveWithCells="1">
                  <from>
                    <xdr:col>0</xdr:col>
                    <xdr:colOff>4276725</xdr:colOff>
                    <xdr:row>4</xdr:row>
                    <xdr:rowOff>0</xdr:rowOff>
                  </from>
                  <to>
                    <xdr:col>0</xdr:col>
                    <xdr:colOff>5143500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9" name="Check Box 13">
              <controlPr defaultSize="0" autoFill="0" autoLine="0" autoPict="0">
                <anchor moveWithCells="1">
                  <from>
                    <xdr:col>0</xdr:col>
                    <xdr:colOff>0</xdr:colOff>
                    <xdr:row>4</xdr:row>
                    <xdr:rowOff>28575</xdr:rowOff>
                  </from>
                  <to>
                    <xdr:col>0</xdr:col>
                    <xdr:colOff>942975</xdr:colOff>
                    <xdr:row>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0" name="Check Box 14">
              <controlPr defaultSize="0" autoFill="0" autoLine="0" autoPict="0">
                <anchor moveWithCells="1">
                  <from>
                    <xdr:col>0</xdr:col>
                    <xdr:colOff>1133475</xdr:colOff>
                    <xdr:row>4</xdr:row>
                    <xdr:rowOff>19050</xdr:rowOff>
                  </from>
                  <to>
                    <xdr:col>0</xdr:col>
                    <xdr:colOff>2876550</xdr:colOff>
                    <xdr:row>6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docMetadata/LabelInfo.xml><?xml version="1.0" encoding="utf-8"?>
<clbl:labelList xmlns:clbl="http://schemas.microsoft.com/office/2020/mipLabelMetadata">
  <clbl:label id="{e926a907-a439-4552-97d4-cf3e4f94d4c9}" enabled="1" method="Standard" siteId="{72d4cc57-c098-4169-86a9-284d255e8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2</vt:i4>
      </vt:variant>
    </vt:vector>
  </HeadingPairs>
  <TitlesOfParts>
    <vt:vector size="5" baseType="lpstr">
      <vt:lpstr>kosztorys</vt:lpstr>
      <vt:lpstr>Zasady wypełniania formularza</vt:lpstr>
      <vt:lpstr>Wyliczenia</vt:lpstr>
      <vt:lpstr>kosztorys!Obszar_wydruku</vt:lpstr>
      <vt:lpstr>kosztorys!Tytuły_wydruku</vt:lpstr>
    </vt:vector>
  </TitlesOfParts>
  <Company>PKO BP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przemyslaw.kochanowski@pekao.com.pl</dc:creator>
  <cp:lastModifiedBy>Kochanowski Przemyslaw</cp:lastModifiedBy>
  <cp:lastPrinted>2025-08-20T08:06:45Z</cp:lastPrinted>
  <dcterms:created xsi:type="dcterms:W3CDTF">2004-12-23T11:44:09Z</dcterms:created>
  <dcterms:modified xsi:type="dcterms:W3CDTF">2026-03-05T15:01:38Z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26a907-a439-4552-97d4-cf3e4f94d4c9_Enabled">
    <vt:lpwstr>true</vt:lpwstr>
  </property>
  <property fmtid="{D5CDD505-2E9C-101B-9397-08002B2CF9AE}" pid="3" name="MSIP_Label_e926a907-a439-4552-97d4-cf3e4f94d4c9_SetDate">
    <vt:lpwstr>2023-01-24T09:03:20Z</vt:lpwstr>
  </property>
  <property fmtid="{D5CDD505-2E9C-101B-9397-08002B2CF9AE}" pid="4" name="MSIP_Label_e926a907-a439-4552-97d4-cf3e4f94d4c9_Method">
    <vt:lpwstr>Standard</vt:lpwstr>
  </property>
  <property fmtid="{D5CDD505-2E9C-101B-9397-08002B2CF9AE}" pid="5" name="MSIP_Label_e926a907-a439-4552-97d4-cf3e4f94d4c9_Name">
    <vt:lpwstr>Bank Pekao SA – Do użytku służbowego</vt:lpwstr>
  </property>
  <property fmtid="{D5CDD505-2E9C-101B-9397-08002B2CF9AE}" pid="6" name="MSIP_Label_e926a907-a439-4552-97d4-cf3e4f94d4c9_SiteId">
    <vt:lpwstr>72d4cc57-c098-4169-86a9-284d255e89f2</vt:lpwstr>
  </property>
  <property fmtid="{D5CDD505-2E9C-101B-9397-08002B2CF9AE}" pid="7" name="MSIP_Label_e926a907-a439-4552-97d4-cf3e4f94d4c9_ActionId">
    <vt:lpwstr>56dce51c-a663-4042-b3e9-a23f75e23264</vt:lpwstr>
  </property>
  <property fmtid="{D5CDD505-2E9C-101B-9397-08002B2CF9AE}" pid="8" name="MSIP_Label_e926a907-a439-4552-97d4-cf3e4f94d4c9_ContentBits">
    <vt:lpwstr>0</vt:lpwstr>
  </property>
</Properties>
</file>